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322"/>
  <workbookPr/>
  <mc:AlternateContent xmlns:mc="http://schemas.openxmlformats.org/markup-compatibility/2006">
    <mc:Choice Requires="x15">
      <x15ac:absPath xmlns:x15ac="http://schemas.microsoft.com/office/spreadsheetml/2010/11/ac" url="/Users/RamonM/Desktop/ARTICLE.SAG-collection-David/9-Second-draft/"/>
    </mc:Choice>
  </mc:AlternateContent>
  <xr:revisionPtr revIDLastSave="0" documentId="13_ncr:1_{200E60DB-48B5-B441-9684-1631CF25E845}" xr6:coauthVersionLast="47" xr6:coauthVersionMax="47" xr10:uidLastSave="{00000000-0000-0000-0000-000000000000}"/>
  <bookViews>
    <workbookView xWindow="480" yWindow="500" windowWidth="32240" windowHeight="20500" activeTab="4" xr2:uid="{5F57A7E7-9C47-6646-A592-AEB3517D78A4}"/>
  </bookViews>
  <sheets>
    <sheet name="Table S6" sheetId="4" r:id="rId1"/>
    <sheet name="pks_in_sags" sheetId="1" r:id="rId2"/>
    <sheet name="per_query" sheetId="7" r:id="rId3"/>
    <sheet name="Per SAG" sheetId="8" r:id="rId4"/>
    <sheet name="Table S6_FINAL" sheetId="9" r:id="rId5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K150" i="8" l="1"/>
  <c r="G150" i="8"/>
  <c r="M150" i="8"/>
  <c r="L150" i="8"/>
  <c r="E150" i="8"/>
  <c r="I150" i="8"/>
  <c r="J150" i="8"/>
  <c r="H150" i="8"/>
  <c r="F150" i="8"/>
  <c r="D150" i="8"/>
</calcChain>
</file>

<file path=xl/sharedStrings.xml><?xml version="1.0" encoding="utf-8"?>
<sst xmlns="http://schemas.openxmlformats.org/spreadsheetml/2006/main" count="1700" uniqueCount="486">
  <si>
    <t>Supergroup</t>
  </si>
  <si>
    <t>Group</t>
  </si>
  <si>
    <t>complete</t>
  </si>
  <si>
    <t>partial</t>
  </si>
  <si>
    <t>AT-KS</t>
  </si>
  <si>
    <t>KS</t>
  </si>
  <si>
    <t>ACP-AT-KS</t>
  </si>
  <si>
    <t>ACP-KS</t>
  </si>
  <si>
    <t>Type II</t>
  </si>
  <si>
    <t>Type III</t>
  </si>
  <si>
    <t>Alveolata</t>
  </si>
  <si>
    <t>Ciliophora</t>
  </si>
  <si>
    <t>Dinoflagellata</t>
  </si>
  <si>
    <t>MALV-I</t>
  </si>
  <si>
    <t>MALV-II</t>
  </si>
  <si>
    <t>Archaeplastida</t>
  </si>
  <si>
    <t>Chlorodendrophyceae</t>
  </si>
  <si>
    <t>Chlorophyta</t>
  </si>
  <si>
    <t>Mamiellophyceae</t>
  </si>
  <si>
    <t>Picozoa</t>
  </si>
  <si>
    <t>Discoba</t>
  </si>
  <si>
    <t>Kinetoplastea</t>
  </si>
  <si>
    <t>Haptista</t>
  </si>
  <si>
    <t>Centroplasthelida</t>
  </si>
  <si>
    <t>Prymnesiophyceae</t>
  </si>
  <si>
    <t>Opisthokonta</t>
  </si>
  <si>
    <t>Basidiomycota</t>
  </si>
  <si>
    <t>Choanoflagellata</t>
  </si>
  <si>
    <t>Tunicaraptor</t>
  </si>
  <si>
    <t>Rhizaria</t>
  </si>
  <si>
    <t>Cercozoa</t>
  </si>
  <si>
    <t>Chlorarachnea</t>
  </si>
  <si>
    <t>Endomyxa</t>
  </si>
  <si>
    <t>Stramenopiles</t>
  </si>
  <si>
    <t>Bolidophyceae</t>
  </si>
  <si>
    <t>Chrysophyceae</t>
  </si>
  <si>
    <t>Diatomea</t>
  </si>
  <si>
    <t>Dictyochophyceae</t>
  </si>
  <si>
    <t>Labyrinthulomycetes</t>
  </si>
  <si>
    <t>MAST-1</t>
  </si>
  <si>
    <t>MAST-12</t>
  </si>
  <si>
    <t>MAST-2</t>
  </si>
  <si>
    <t>MAST-3</t>
  </si>
  <si>
    <t>MAST-4</t>
  </si>
  <si>
    <t>MAST-7</t>
  </si>
  <si>
    <t>MAST-8</t>
  </si>
  <si>
    <t>MAST-9</t>
  </si>
  <si>
    <t>MOCH-2</t>
  </si>
  <si>
    <t>Pinguiophyceae</t>
  </si>
  <si>
    <t>Telonemia</t>
  </si>
  <si>
    <t>Unknown</t>
  </si>
  <si>
    <t>Num. SAGs</t>
  </si>
  <si>
    <t>Type I</t>
  </si>
  <si>
    <t>SAGs with PKS</t>
  </si>
  <si>
    <t>Number of genes per domain architecture</t>
  </si>
  <si>
    <t>Genome</t>
  </si>
  <si>
    <t>Number of genes</t>
  </si>
  <si>
    <t>Viral rhodopsins</t>
  </si>
  <si>
    <t>ICM0001_COSAG.1_Mamiellophyceae</t>
  </si>
  <si>
    <t>ICM0002_COSAG.1_Chrysophyceae</t>
  </si>
  <si>
    <t>ICM0003_COSAG.1_Prymnesiophyceae</t>
  </si>
  <si>
    <t>ICM0004_COSAG.1_Prymnesiophyceae</t>
  </si>
  <si>
    <t>ICM0005_SAG.1_MALV-I</t>
  </si>
  <si>
    <t>ICM0006_COSAG.1_MAST-3</t>
  </si>
  <si>
    <t>ICM0007_COSAG.1_MAST-3</t>
  </si>
  <si>
    <t>ICM0008_SAG.1_Choanoflagellata</t>
  </si>
  <si>
    <t>ICM0009_SAG.1_Labyrinthulomycetes</t>
  </si>
  <si>
    <t>ICM0010_COSAG.1_MAST-4</t>
  </si>
  <si>
    <t>ICM0011_COSAG.1_Chlorarachnea</t>
  </si>
  <si>
    <t>ICM0012_SAG.1_MALV-I</t>
  </si>
  <si>
    <t>ICM0013_COSAG.1_MAST-1</t>
  </si>
  <si>
    <t>ICM0014_SAG.1_MAST-1</t>
  </si>
  <si>
    <t>ICM0015_COSAG.1_Prymnesiophyceae</t>
  </si>
  <si>
    <t>ICM0016_COSAG.1_Dictyochophyceae</t>
  </si>
  <si>
    <t>ICM0017_SAG.1_MAST-8</t>
  </si>
  <si>
    <t>ICM0018_SAG.1_MALV-I</t>
  </si>
  <si>
    <t>ICM0019_COSAG.1_Choanoflagellata</t>
  </si>
  <si>
    <t>ICM0020_SAG.1_MALV-II</t>
  </si>
  <si>
    <t>ICM0021_SAG.1_MALV-I</t>
  </si>
  <si>
    <t>ICM0022_SAG.1_MALV-II</t>
  </si>
  <si>
    <t>ICM0023_SAG.1_MAST-8</t>
  </si>
  <si>
    <t>ICM0024_COSAG.1_MAST-8</t>
  </si>
  <si>
    <t>ICM0025_SAG.1_Dictyochophyceae</t>
  </si>
  <si>
    <t>ICM0026_COSAG.1_MAST-1</t>
  </si>
  <si>
    <t>ICM0027_SAG.1_Dictyochophyceae</t>
  </si>
  <si>
    <t>ICM0028_COSAG.1_Mamiellophyceae</t>
  </si>
  <si>
    <t>ICM0029_SAG.1_Chrysophyceae</t>
  </si>
  <si>
    <t>ICM0030_SAG.1_Mamiellophyceae</t>
  </si>
  <si>
    <t>ICM0031_SAG.1_Chrysophyceae</t>
  </si>
  <si>
    <t>ICM0032_SAG.1_MALV-II</t>
  </si>
  <si>
    <t>ICM0033_SAG.1_MALV-II</t>
  </si>
  <si>
    <t>ICM0034_SAG.1_MALV-II</t>
  </si>
  <si>
    <t>ICM0035_SAG.1_MAST-2</t>
  </si>
  <si>
    <t>ICM0036_COSAG.1_Picozoa</t>
  </si>
  <si>
    <t>ICM0037_SAG.1_MAST-3</t>
  </si>
  <si>
    <t>ICM0038_SAG.1_Chrysophyceae</t>
  </si>
  <si>
    <t>ICM0039_SAG.1_Telonemia</t>
  </si>
  <si>
    <t>ICM0040_SAG.1_Picozoa</t>
  </si>
  <si>
    <t>ICM0041_COSAG.1_Chlorarachnea</t>
  </si>
  <si>
    <t>ICM0042_COSAG.1_MAST-4</t>
  </si>
  <si>
    <t>ICM0043_COSAG.1_MAST-7</t>
  </si>
  <si>
    <t>ICM0044_SAG.1_Labyrinthulomycetes</t>
  </si>
  <si>
    <t>ICM0045_COSAG.1_MAST-3</t>
  </si>
  <si>
    <t>ICM0046_SAG.1_MAST-3</t>
  </si>
  <si>
    <t>ICM0048_COSAG.1_Chrysophyceae</t>
  </si>
  <si>
    <t>ICM0049_SAG.1_MAST-7</t>
  </si>
  <si>
    <t>ICM0050_SAG.1_MAST-7</t>
  </si>
  <si>
    <t>ICM0051_COSAG.1_MAST-3</t>
  </si>
  <si>
    <t>ICM0052_COSAG.1_MAST-7</t>
  </si>
  <si>
    <t>ICM0053_COSAG.1_Chrysophyceae</t>
  </si>
  <si>
    <t>ICM0054_COSAG.1_Labyrinthulomycetes</t>
  </si>
  <si>
    <t>ICM0055_SAG.1_Picozoa</t>
  </si>
  <si>
    <t>ICM0056_SAG.1_Choanoflagellata</t>
  </si>
  <si>
    <t>ICM0057_COSAG.1_Unknown</t>
  </si>
  <si>
    <t>ICM0058_SAG.1_Cercozoa</t>
  </si>
  <si>
    <t>ICM0059_SAG.1_MAST-7</t>
  </si>
  <si>
    <t>ICM0060_SAG.1_MAST-1</t>
  </si>
  <si>
    <t>ICM0061_SAG.1_Basidiomycota</t>
  </si>
  <si>
    <t>ICM0062_COSAG.1_Mamiellophyceae</t>
  </si>
  <si>
    <t>ICM0063_COSAG.1_Mamiellophyceae</t>
  </si>
  <si>
    <t>ICM0064_SAG.1_Mamiellophyceae</t>
  </si>
  <si>
    <t>ICM0065_COSAG.1_Prymnesiophyceae</t>
  </si>
  <si>
    <t>ICM0066_SAG.1_Pinguiophyceae</t>
  </si>
  <si>
    <t>ICM0067_COSAG.1_Diatomea</t>
  </si>
  <si>
    <t>ICM0068_COSAG.1_Diatomea</t>
  </si>
  <si>
    <t>ICM0069_SAG.1_Dictyochophyceae</t>
  </si>
  <si>
    <t>ICM0070_SAG.1_Chrysophyceae</t>
  </si>
  <si>
    <t>ICM0071_SAG.1_Prymnesiophyceae</t>
  </si>
  <si>
    <t>ICM0072_SAG.1_Prymnesiophyceae</t>
  </si>
  <si>
    <t>ICM0073_SAG.1_Mamiellophyceae</t>
  </si>
  <si>
    <t>ICM0074_SAG.1_Diatomea</t>
  </si>
  <si>
    <t>ICM0075_COSAG.1_MOCH-2</t>
  </si>
  <si>
    <t>ICM0076_COSAG.1_Chlorodendrophyceae</t>
  </si>
  <si>
    <t>ICM0077_COSAG.1_Mamiellophyceae</t>
  </si>
  <si>
    <t>ICM0078_COSAG.1_Prymnesiophyceae</t>
  </si>
  <si>
    <t>ICM0079_COSAG.1_Chrysophyceae</t>
  </si>
  <si>
    <t>ICM0080_SAG.1_Chrysophyceae</t>
  </si>
  <si>
    <t>ICM0081_SAG.1_MAST-12</t>
  </si>
  <si>
    <t>ICM0082_COSAG.1_Prymnesiophyceae</t>
  </si>
  <si>
    <t>ICM0083_SAG.1_Prymnesiophyceae</t>
  </si>
  <si>
    <t>ICM0084_SAG.1_Prymnesiophyceae</t>
  </si>
  <si>
    <t>ICM0085_SAG.1_Chrysophyceae</t>
  </si>
  <si>
    <t>ICM0086_SAG.1_Chrysophyceae</t>
  </si>
  <si>
    <t>ICM0087_SAG.1_Diatomea</t>
  </si>
  <si>
    <t>ICM0088_SAG.1_Mamiellophyceae</t>
  </si>
  <si>
    <t>ICM0089_SAG.1_Prymnesiophyceae</t>
  </si>
  <si>
    <t>ICM0090_SAG.1_Mamiellophyceae</t>
  </si>
  <si>
    <t>ICM0091_COSAG.1_Bolidophyceae</t>
  </si>
  <si>
    <t>ICM0092_COSAG.1_Chrysophyceae</t>
  </si>
  <si>
    <t>ICM0093_SAG.1_Chlorophyta</t>
  </si>
  <si>
    <t>ICM0094_SAG.1_Centroplasthelida</t>
  </si>
  <si>
    <t>ICM0095_COSAG.1_Centroplasthelida</t>
  </si>
  <si>
    <t>ICM0096_SAG.1_Mamiellophyceae</t>
  </si>
  <si>
    <t>ICM0097_SAG.1_Diatomea</t>
  </si>
  <si>
    <t>ICM0098_SAG.1_Chrysophyceae</t>
  </si>
  <si>
    <t>ICM0099_SAG.1_Prymnesiophyceae</t>
  </si>
  <si>
    <t>ICM0100_SAG.1_Prymnesiophyceae</t>
  </si>
  <si>
    <t>ICM0101_COSAG.1_Prymnesiophyceae</t>
  </si>
  <si>
    <t>ICM0102_SAG.1_Prymnesiophyceae</t>
  </si>
  <si>
    <t>ICM0103_SAG.1_Prymnesiophyceae</t>
  </si>
  <si>
    <t>ICM0104_SAG.1_Prymnesiophyceae</t>
  </si>
  <si>
    <t>ICM0105_SAG.1_Prymnesiophyceae</t>
  </si>
  <si>
    <t>ICM0106_COSAG.1_Prymnesiophyceae</t>
  </si>
  <si>
    <t>ICM0107_COSAG.1_Prymnesiophyceae</t>
  </si>
  <si>
    <t>ICM0108_SAG.1_Prymnesiophyceae</t>
  </si>
  <si>
    <t>ICM0109_SAG.1_Prymnesiophyceae</t>
  </si>
  <si>
    <t>ICM0110_SAG.1_Prymnesiophyceae</t>
  </si>
  <si>
    <t>ICM0111_SAG.1_Prymnesiophyceae</t>
  </si>
  <si>
    <t>ICM0112_SAG.1_Prymnesiophyceae</t>
  </si>
  <si>
    <t>ICM0113_SAG.1_Prymnesiophyceae</t>
  </si>
  <si>
    <t>ICM0114_SAG.1_Prymnesiophyceae</t>
  </si>
  <si>
    <t>ICM0115_COSAG.1_Prymnesiophyceae</t>
  </si>
  <si>
    <t>ICM0116_SAG.1_Prymnesiophyceae</t>
  </si>
  <si>
    <t>ICM0117_SAG.1_Prymnesiophyceae</t>
  </si>
  <si>
    <t>ICM0118_SAG.1_Prymnesiophyceae</t>
  </si>
  <si>
    <t>ICM0119_SAG.1_Dinoflagellata</t>
  </si>
  <si>
    <t>ICM0120_COSAG.1_Prymnesiophyceae</t>
  </si>
  <si>
    <t>ICM0121_SAG.1_Prymnesiophyceae</t>
  </si>
  <si>
    <t>ICM0122_COSAG.1_Prymnesiophyceae</t>
  </si>
  <si>
    <t>ICM0123_SAG.1_Prymnesiophyceae</t>
  </si>
  <si>
    <t>ICM0124_SAG.1_Prymnesiophyceae</t>
  </si>
  <si>
    <t>ICM0125_SAG.1_Prymnesiophyceae</t>
  </si>
  <si>
    <t>ICM0126_SAG.1_Prymnesiophyceae</t>
  </si>
  <si>
    <t>ICM0127_SAG.1_Prymnesiophyceae</t>
  </si>
  <si>
    <t>ICM0128_SAG.1_Prymnesiophyceae</t>
  </si>
  <si>
    <t>ICM0129_SAG.1_Prymnesiophyceae</t>
  </si>
  <si>
    <t>ICM0130_SAG.1_Prymnesiophyceae</t>
  </si>
  <si>
    <t>ICM0131_SAG.1_Prymnesiophyceae</t>
  </si>
  <si>
    <t>ICM0132_SAG.1_Prymnesiophyceae</t>
  </si>
  <si>
    <t>ICM0133_SAG.1_Kinetoplastea</t>
  </si>
  <si>
    <t>ICM0134_COSAG.1_MAST-7</t>
  </si>
  <si>
    <t>ICM0135_SAG.1_Cercozoa</t>
  </si>
  <si>
    <t>ICM0136_SAG.1_MAST-3</t>
  </si>
  <si>
    <t>ICM0137_SAG.1_Tunicaraptor</t>
  </si>
  <si>
    <t>ICM0138_SAG.1_MAST-9</t>
  </si>
  <si>
    <t>ICM0139_SAG.1_Chlorarachnea</t>
  </si>
  <si>
    <t>ICM0140_COSAG.1_Chlorodendrophyceae</t>
  </si>
  <si>
    <t>ICM0141_SAG.1_Diatomea</t>
  </si>
  <si>
    <t>ICM0142_SAG.1_Prymnesiophyceae</t>
  </si>
  <si>
    <t>ICM0143_SAG.1_Choanoflagellata</t>
  </si>
  <si>
    <t>ICM0144_SAG.1_MAST-3</t>
  </si>
  <si>
    <t>ICM0145_SAG.1_Choanoflagellata</t>
  </si>
  <si>
    <t>ICM0146_SAG.1_Ciliophora</t>
  </si>
  <si>
    <t>ICM0147_SAG.1_Picozoa</t>
  </si>
  <si>
    <t>ICM0047_SAG.1_Endomyxa</t>
  </si>
  <si>
    <t>SAGs</t>
  </si>
  <si>
    <t>genes</t>
  </si>
  <si>
    <t>SAGs with Rho</t>
  </si>
  <si>
    <t>Channelrhodopsins</t>
  </si>
  <si>
    <t>8TM rhodopsin</t>
  </si>
  <si>
    <t>Bestrhodopsins</t>
  </si>
  <si>
    <t>Halorhodopsins</t>
  </si>
  <si>
    <t>New_clade</t>
  </si>
  <si>
    <t>Proteorhodopsins</t>
  </si>
  <si>
    <t>SAR rhodopsins</t>
  </si>
  <si>
    <t>Xanthorhodopsins</t>
  </si>
  <si>
    <t>Microbial rhodopsins;Xanthorhodopsins</t>
  </si>
  <si>
    <t>ICM0138</t>
  </si>
  <si>
    <t>g869.t1_ICM0138_SAG.1_MAST-9</t>
  </si>
  <si>
    <t>ICM0132</t>
  </si>
  <si>
    <t>g2733.t2_ICM0132_SAG.1_Prymnesiophyceae</t>
  </si>
  <si>
    <t>ICM0131</t>
  </si>
  <si>
    <t>g233.t2_ICM0131_SAG.1_Prymnesiophyceae</t>
  </si>
  <si>
    <t>ICM0130</t>
  </si>
  <si>
    <t>g290.t1_ICM0130_SAG.1_Prymnesiophyceae</t>
  </si>
  <si>
    <t>ICM0129</t>
  </si>
  <si>
    <t>g9109.t1_ICM0129_SAG.1_Prymnesiophyceae</t>
  </si>
  <si>
    <t>ICM0127</t>
  </si>
  <si>
    <t>g8968.t1_ICM0127_SAG.1_Prymnesiophyceae</t>
  </si>
  <si>
    <t>ICM0125</t>
  </si>
  <si>
    <t>g654.t1_ICM0125_SAG.1_Prymnesiophyceae</t>
  </si>
  <si>
    <t>ICM0122</t>
  </si>
  <si>
    <t>g25980.t1_ICM0122_COSAG.1_Prymnesiophyceae</t>
  </si>
  <si>
    <t>ICM0120</t>
  </si>
  <si>
    <t>g30709.t1_ICM0120_COSAG.1_Prymnesiophyceae</t>
  </si>
  <si>
    <t>g35346.t1_ICM0120_COSAG.1_Prymnesiophyceae</t>
  </si>
  <si>
    <t>g5601.t1_ICM0120_COSAG.1_Prymnesiophyceae</t>
  </si>
  <si>
    <t>ICM0114</t>
  </si>
  <si>
    <t>g349.t1_ICM0114_SAG.1_Prymnesiophyceae</t>
  </si>
  <si>
    <t>ICM0110</t>
  </si>
  <si>
    <t>g6836.t1_ICM0110_SAG.1_Prymnesiophyceae</t>
  </si>
  <si>
    <t>ICM0107</t>
  </si>
  <si>
    <t>g7303.t2_ICM0107_COSAG.1_Prymnesiophyceae</t>
  </si>
  <si>
    <t>ICM0106</t>
  </si>
  <si>
    <t>g12485.t1_ICM0106_COSAG.1_Prymnesiophyceae</t>
  </si>
  <si>
    <t>ICM0104</t>
  </si>
  <si>
    <t>g1227.t1_ICM0104_SAG.1_Prymnesiophyceae</t>
  </si>
  <si>
    <t>ICM0101</t>
  </si>
  <si>
    <t>g30385.t1_ICM0101_COSAG.1_Prymnesiophyceae</t>
  </si>
  <si>
    <t>ICM0099</t>
  </si>
  <si>
    <t>g2574.t1_ICM0099_SAG.1_Prymnesiophyceae</t>
  </si>
  <si>
    <t>ICM0051</t>
  </si>
  <si>
    <t>g2463.t1_ICM0051_COSAG.1_MAST-3</t>
  </si>
  <si>
    <t>ICM0050</t>
  </si>
  <si>
    <t>g3123.t1_ICM0050_SAG.1_MAST-7</t>
  </si>
  <si>
    <t>ICM0045</t>
  </si>
  <si>
    <t>g7356.t1_ICM0045_COSAG.1_MAST-3</t>
  </si>
  <si>
    <t>ICM0042</t>
  </si>
  <si>
    <t>g4900.t1_ICM0042_COSAG.1_MAST-4</t>
  </si>
  <si>
    <t>ICM0039</t>
  </si>
  <si>
    <t>g5135.t1_ICM0039_SAG.1_Telonemia</t>
  </si>
  <si>
    <t>ICM0017</t>
  </si>
  <si>
    <t>g2301.t1_ICM0017_SAG.1_MAST-8</t>
  </si>
  <si>
    <t>ICM0009</t>
  </si>
  <si>
    <t>g449.t1_ICM0009_SAG.1_Labyrinthulomycetes</t>
  </si>
  <si>
    <t>Microbial rhodopsins;Viral rhodopsins</t>
  </si>
  <si>
    <t>ICM0053</t>
  </si>
  <si>
    <t>g7238.t1_ICM0053_COSAG.1_Chrysophyceae</t>
  </si>
  <si>
    <t>ICM0002</t>
  </si>
  <si>
    <t>g11376.t1_ICM0002_COSAG.1_Chrysophyceae</t>
  </si>
  <si>
    <t>Microbial rhodopsins;SAR rhodopsins</t>
  </si>
  <si>
    <t>ICM0041</t>
  </si>
  <si>
    <t>g1649.t1_ICM0041_COSAG.1_Chlorarachnea</t>
  </si>
  <si>
    <t>Microbial rhodopsins;NOP-1 fungal Rhs</t>
  </si>
  <si>
    <t>ICM0026</t>
  </si>
  <si>
    <t>g1554.t1_ICM0026_COSAG.1_MAST-1</t>
  </si>
  <si>
    <t>g2789.t1_ICM0026_COSAG.1_MAST-1</t>
  </si>
  <si>
    <t>Microbial rhodopsins;Cryptophyte sensory Rhs</t>
  </si>
  <si>
    <t>g6920.t1_ICM0026_COSAG.1_MAST-1</t>
  </si>
  <si>
    <t>ICM0013</t>
  </si>
  <si>
    <t>g16411.t1_ICM0013_COSAG.1_MAST-1</t>
  </si>
  <si>
    <t>Microbial rhodopsins</t>
  </si>
  <si>
    <t>ICM0011</t>
  </si>
  <si>
    <t>g10507.t1_ICM0011_COSAG.1_Chlorarachnea</t>
  </si>
  <si>
    <t>g5993.t1_ICM0011_COSAG.1_Chlorarachnea</t>
  </si>
  <si>
    <t>g5992.t1_ICM0011_COSAG.1_Chlorarachnea</t>
  </si>
  <si>
    <t>ICM0006</t>
  </si>
  <si>
    <t>g5256.t1_ICM0006_COSAG.1_MAST-3</t>
  </si>
  <si>
    <t>g1833.t1_ICM0006_COSAG.1_MAST-3</t>
  </si>
  <si>
    <t>ICM0052</t>
  </si>
  <si>
    <t>g3460.t1_ICM0052_COSAG.1_MAST-7</t>
  </si>
  <si>
    <t>Microbial rhodopsins;Proteorhodopsins</t>
  </si>
  <si>
    <t>ICM0032</t>
  </si>
  <si>
    <t>g3988.t1_ICM0032_SAG.1_MALV-II</t>
  </si>
  <si>
    <t>ICM0022</t>
  </si>
  <si>
    <t>g558.t1_ICM0022_SAG.1_MALV-II</t>
  </si>
  <si>
    <t>g1998.t1_ICM0022_SAG.1_MALV-II</t>
  </si>
  <si>
    <t>g1996.t1_ICM0022_SAG.1_MALV-II</t>
  </si>
  <si>
    <t>g1999.t1_ICM0022_SAG.1_MALV-II</t>
  </si>
  <si>
    <t>g2000.t1_ICM0022_SAG.1_MALV-II</t>
  </si>
  <si>
    <t>g559.t1_ICM0022_SAG.1_MALV-II</t>
  </si>
  <si>
    <t>g7202.t1_ICM0022_SAG.1_MALV-II</t>
  </si>
  <si>
    <t>g1997.t1_ICM0022_SAG.1_MALV-II</t>
  </si>
  <si>
    <t>g2001.t1_ICM0022_SAG.1_MALV-II</t>
  </si>
  <si>
    <t>g557.t1_ICM0022_SAG.1_MALV-II</t>
  </si>
  <si>
    <t>g6792.t1_ICM0022_SAG.1_MALV-II</t>
  </si>
  <si>
    <t>g7203.t1_ICM0022_SAG.1_MALV-II</t>
  </si>
  <si>
    <t>g1995.t1_ICM0022_SAG.1_MALV-II</t>
  </si>
  <si>
    <t>ICM0020</t>
  </si>
  <si>
    <t>g3124.t1_ICM0020_SAG.1_MALV-II</t>
  </si>
  <si>
    <t>g1843.t1_ICM0114_SAG.1_Prymnesiophyceae</t>
  </si>
  <si>
    <t>ICM0111</t>
  </si>
  <si>
    <t>g16147.t1_ICM0111_SAG.1_Prymnesiophyceae</t>
  </si>
  <si>
    <t>ICM0065</t>
  </si>
  <si>
    <t>g20182.t1_ICM0065_COSAG.1_Prymnesiophyceae</t>
  </si>
  <si>
    <t>g18187.t1_ICM0065_COSAG.1_Prymnesiophyceae</t>
  </si>
  <si>
    <t>g5943.t1_ICM0051_COSAG.1_MAST-3</t>
  </si>
  <si>
    <t>g3779.t1_ICM0051_COSAG.1_MAST-3</t>
  </si>
  <si>
    <t>ICM0027</t>
  </si>
  <si>
    <t>g3229.t1_ICM0027_SAG.1_Dictyochophyceae</t>
  </si>
  <si>
    <t>ICM0024</t>
  </si>
  <si>
    <t>g8597.t1_ICM0024_COSAG.1_MAST-8</t>
  </si>
  <si>
    <t>Microbial rhodopsins;Halorhodopsins</t>
  </si>
  <si>
    <t>ICM0047</t>
  </si>
  <si>
    <t>g3501.t1_ICM0047_SAG.1_Cercozoa</t>
  </si>
  <si>
    <t>Microbial rhodopsins;Bestrhodopsins</t>
  </si>
  <si>
    <t>ICM0071</t>
  </si>
  <si>
    <t>g7744.t1_ICM0071_SAG.1_Prymnesiophyceae</t>
  </si>
  <si>
    <t>Microbial rhodopsins;Channelrhodopsins</t>
  </si>
  <si>
    <t>ICM0142</t>
  </si>
  <si>
    <t>g4344.t1_ICM0142_SAG.1_Prymnesiophyceae</t>
  </si>
  <si>
    <t>ICM0140</t>
  </si>
  <si>
    <t>g4043.t1_ICM0140_COSAG.1_Chlorodendrophyceae</t>
  </si>
  <si>
    <t>g5921.t1_ICM0140_COSAG.1_Chlorodendrophyceae</t>
  </si>
  <si>
    <t>g763.t1_ICM0140_COSAG.1_Chlorodendrophyceae</t>
  </si>
  <si>
    <t>g4562.t1_ICM0138_SAG.1_MAST-9</t>
  </si>
  <si>
    <t>ICM0134</t>
  </si>
  <si>
    <t>g9608.t1_ICM0134_COSAG.1_MAST-7</t>
  </si>
  <si>
    <t>g1871.t1_ICM0114_SAG.1_Prymnesiophyceae</t>
  </si>
  <si>
    <t>ICM0112</t>
  </si>
  <si>
    <t>g11944.t1_ICM0112_SAG.1_Prymnesiophyceae</t>
  </si>
  <si>
    <t>g8751.t1_ICM0110_SAG.1_Prymnesiophyceae</t>
  </si>
  <si>
    <t>g14505.t1_ICM0106_COSAG.1_Prymnesiophyceae</t>
  </si>
  <si>
    <t>g12718.t1_ICM0104_SAG.1_Prymnesiophyceae</t>
  </si>
  <si>
    <t>g7903.t1_ICM0104_SAG.1_Prymnesiophyceae</t>
  </si>
  <si>
    <t>g18017.t1_ICM0104_SAG.1_Prymnesiophyceae</t>
  </si>
  <si>
    <t>ICM0103</t>
  </si>
  <si>
    <t>g4024.t1_ICM0103_SAG.1_Prymnesiophyceae</t>
  </si>
  <si>
    <t>ICM0088</t>
  </si>
  <si>
    <t>g3401.t1_ICM0088_SAG.1_Mamiellophyceae</t>
  </si>
  <si>
    <t>g2445.t1_ICM0088_SAG.1_Mamiellophyceae</t>
  </si>
  <si>
    <t>ICM0079</t>
  </si>
  <si>
    <t>g8906.t1_ICM0079_COSAG.1_Chrysophyceae</t>
  </si>
  <si>
    <t>g6018.t1_ICM0065_COSAG.1_Prymnesiophyceae</t>
  </si>
  <si>
    <t>g13168.t1_ICM0065_COSAG.1_Prymnesiophyceae</t>
  </si>
  <si>
    <t>g13465.t1_ICM0065_COSAG.1_Prymnesiophyceae</t>
  </si>
  <si>
    <t>g13790.t1_ICM0065_COSAG.1_Prymnesiophyceae</t>
  </si>
  <si>
    <t>g15923.t1_ICM0065_COSAG.1_Prymnesiophyceae</t>
  </si>
  <si>
    <t>g11644.t1_ICM0065_COSAG.1_Prymnesiophyceae</t>
  </si>
  <si>
    <t>g8581.t1_ICM0065_COSAG.1_Prymnesiophyceae</t>
  </si>
  <si>
    <t>g16874.t1_ICM0065_COSAG.1_Prymnesiophyceae</t>
  </si>
  <si>
    <t>g28993.t1_ICM0065_COSAG.1_Prymnesiophyceae</t>
  </si>
  <si>
    <t>ICM0054</t>
  </si>
  <si>
    <t>g3042.t1_ICM0054_COSAG.1_Labyrinthulomycetes</t>
  </si>
  <si>
    <t>g2335.t1_ICM0054_COSAG.1_Labyrinthulomycetes</t>
  </si>
  <si>
    <t>g4544.t1_ICM0047_SAG.1_Cercozoa</t>
  </si>
  <si>
    <t>ICM0010</t>
  </si>
  <si>
    <t>g13852.t1_ICM0010_COSAG.1_MAST-4</t>
  </si>
  <si>
    <t>g11866.t1_ICM0010_COSAG.1_MAST-4</t>
  </si>
  <si>
    <t>g4489.t1_ICM0010_COSAG.1_MAST-4</t>
  </si>
  <si>
    <t>ICM0014</t>
  </si>
  <si>
    <t>g773.t1_ICM0014_SAG.1_MAST-1</t>
  </si>
  <si>
    <t>ICM0119</t>
  </si>
  <si>
    <t>g7741.t1_ICM0119_SAG.1_Dinoflagellata</t>
  </si>
  <si>
    <t>g10699.t1_ICM0119_SAG.1_Dinoflagellata</t>
  </si>
  <si>
    <t>g14970.t1_ICM0119_SAG.1_Dinoflagellata</t>
  </si>
  <si>
    <t>ICM0084</t>
  </si>
  <si>
    <t>g1949.t1_ICM0084_SAG.1_Prymnesiophyceae</t>
  </si>
  <si>
    <t>ICM0034</t>
  </si>
  <si>
    <t>g2571.t1_ICM0034_SAG.1_MALV-II</t>
  </si>
  <si>
    <t>g5559.t1_ICM0032_SAG.1_MALV-II</t>
  </si>
  <si>
    <t>ICM0016</t>
  </si>
  <si>
    <t>g10245.t1_ICM0016_COSAG.1_Dictyochophyceae</t>
  </si>
  <si>
    <t>ICM0003</t>
  </si>
  <si>
    <t>g11167.t1_ICM0003_COSAG.1_Prymnesiophyceae</t>
  </si>
  <si>
    <t>Microbial rhodopsins;8TM rhodopsin</t>
  </si>
  <si>
    <t>g4285.t1_ICM0140_COSAG.1_Chlorodendrophyceae</t>
  </si>
  <si>
    <t>Microbial rhodopsins;8TM rhodopsin;Enzymerhodopsins</t>
  </si>
  <si>
    <t>g685.t1_ICM0140_COSAG.1_Chlorodendrophyceae</t>
  </si>
  <si>
    <t>g4514.t1_ICM0140_COSAG.1_Chlorodendrophyceae</t>
  </si>
  <si>
    <t>g1384.t1_ICM0130_SAG.1_Prymnesiophyceae</t>
  </si>
  <si>
    <t>g4352.t1_ICM0130_SAG.1_Prymnesiophyceae</t>
  </si>
  <si>
    <t>ICM0124</t>
  </si>
  <si>
    <t>g8166.t1_ICM0124_SAG.1_Prymnesiophyceae</t>
  </si>
  <si>
    <t>Microbial rhodopsins;Schizorhodopsins</t>
  </si>
  <si>
    <t>g3321.t1_ICM0124_SAG.1_Prymnesiophyceae</t>
  </si>
  <si>
    <t>g28313.t1_ICM0122_COSAG.1_Prymnesiophyceae</t>
  </si>
  <si>
    <t>g24545.t1_ICM0120_COSAG.1_Prymnesiophyceae</t>
  </si>
  <si>
    <t>g16735.t1_ICM0120_COSAG.1_Prymnesiophyceae</t>
  </si>
  <si>
    <t>g31784.t1_ICM0120_COSAG.1_Prymnesiophyceae</t>
  </si>
  <si>
    <t>g22121.t1_ICM0120_COSAG.1_Prymnesiophyceae</t>
  </si>
  <si>
    <t>ICM0115</t>
  </si>
  <si>
    <t>g8600.t1_ICM0115_COSAG.1_Prymnesiophyceae</t>
  </si>
  <si>
    <t>g8041.t1_ICM0114_SAG.1_Prymnesiophyceae</t>
  </si>
  <si>
    <t>ICM0113</t>
  </si>
  <si>
    <t>g3045.t1_ICM0113_SAG.1_Prymnesiophyceae</t>
  </si>
  <si>
    <t>g16972.t1_ICM0111_SAG.1_Prymnesiophyceae</t>
  </si>
  <si>
    <t>g5297.t1_ICM0110_SAG.1_Prymnesiophyceae</t>
  </si>
  <si>
    <t>g13585.t1_ICM0110_SAG.1_Prymnesiophyceae</t>
  </si>
  <si>
    <t>g12079.t1_ICM0110_SAG.1_Prymnesiophyceae</t>
  </si>
  <si>
    <t>ICM0109</t>
  </si>
  <si>
    <t>g3544.t1_ICM0109_SAG.1_Prymnesiophyceae</t>
  </si>
  <si>
    <t>g7613.t1_ICM0109_SAG.1_Prymnesiophyceae</t>
  </si>
  <si>
    <t>ICM0108</t>
  </si>
  <si>
    <t>g2263.t1_ICM0108_SAG.1_Prymnesiophyceae</t>
  </si>
  <si>
    <t>g1116.t1_ICM0108_SAG.1_Prymnesiophyceae</t>
  </si>
  <si>
    <t>g11389.t1_ICM0107_COSAG.1_Prymnesiophyceae</t>
  </si>
  <si>
    <t>g16243.t1_ICM0106_COSAG.1_Prymnesiophyceae</t>
  </si>
  <si>
    <t>g14125.t1_ICM0106_COSAG.1_Prymnesiophyceae</t>
  </si>
  <si>
    <t>g10794.t1_ICM0106_COSAG.1_Prymnesiophyceae</t>
  </si>
  <si>
    <t>g6353.t1_ICM0104_SAG.1_Prymnesiophyceae</t>
  </si>
  <si>
    <t>g5255.t1_ICM0104_SAG.1_Prymnesiophyceae</t>
  </si>
  <si>
    <t>g2262.t1_ICM0103_SAG.1_Prymnesiophyceae</t>
  </si>
  <si>
    <t>g31286.t1_ICM0101_COSAG.1_Prymnesiophyceae</t>
  </si>
  <si>
    <t>ICM0100</t>
  </si>
  <si>
    <t>g11915.t1_ICM0100_SAG.1_Prymnesiophyceae</t>
  </si>
  <si>
    <t>g8857.t1_ICM0099_SAG.1_Prymnesiophyceae</t>
  </si>
  <si>
    <t>g5904.t1_ICM0084_SAG.1_Prymnesiophyceae</t>
  </si>
  <si>
    <t>ICM0082</t>
  </si>
  <si>
    <t>g14614.t1_ICM0082_COSAG.1_Prymnesiophyceae</t>
  </si>
  <si>
    <t>ICM0077</t>
  </si>
  <si>
    <t>g195.t1_ICM0077_COSAG.1_Mamiellophyceae</t>
  </si>
  <si>
    <t>ICM0075</t>
  </si>
  <si>
    <t>g7369.t1_ICM0075_COSAG.1_MOCH-2</t>
  </si>
  <si>
    <t>ICM0072</t>
  </si>
  <si>
    <t>g2147.t1_ICM0072_SAG.1_Prymnesiophyceae</t>
  </si>
  <si>
    <t>ICM0063</t>
  </si>
  <si>
    <t>g6698.t1_ICM0063_COSAG.1_Mamiellophyceae</t>
  </si>
  <si>
    <t>g3572.t1_ICM0063_COSAG.1_Mamiellophyceae</t>
  </si>
  <si>
    <t>ICM0062</t>
  </si>
  <si>
    <t>g2650.t1_ICM0062_COSAG.1_Mamiellophyceae</t>
  </si>
  <si>
    <t>g5862.t1_ICM0062_COSAG.1_Mamiellophyceae</t>
  </si>
  <si>
    <t>g7799.t1_ICM0062_COSAG.1_Mamiellophyceae</t>
  </si>
  <si>
    <t>g3499.t1_ICM0047_SAG.1_Cercozoa</t>
  </si>
  <si>
    <t>Microbial rhodopsins;NQ rhodopsin pumps</t>
  </si>
  <si>
    <t>g3500.t1_ICM0047_SAG.1_Cercozoa</t>
  </si>
  <si>
    <t>ICM0028</t>
  </si>
  <si>
    <t>g1170.t1_ICM0028_COSAG.1_Mamiellophyceae</t>
  </si>
  <si>
    <t>g432.t1_ICM0028_COSAG.1_Mamiellophyceae</t>
  </si>
  <si>
    <t>g2085.t1_ICM0028_COSAG.1_Mamiellophyceae</t>
  </si>
  <si>
    <t>g6988.t1_ICM0026_COSAG.1_MAST-1</t>
  </si>
  <si>
    <t>g18394.t1_ICM0016_COSAG.1_Dictyochophyceae</t>
  </si>
  <si>
    <t>g4283.t1_ICM0003_COSAG.1_Prymnesiophyceae</t>
  </si>
  <si>
    <t>ICM0001</t>
  </si>
  <si>
    <t>g5377.t1_ICM0001_COSAG.1_Mamiellophyceae</t>
  </si>
  <si>
    <t>g4391.t1_ICM0001_COSAG.1_Mamiellophyceae</t>
  </si>
  <si>
    <t>g1787.t1_ICM0001_COSAG.1_Mamiellophyceae</t>
  </si>
  <si>
    <t>taxopath-EPA</t>
  </si>
  <si>
    <t>afract</t>
  </si>
  <si>
    <t>aLWR</t>
  </si>
  <si>
    <t>fract</t>
  </si>
  <si>
    <t>LWR</t>
  </si>
  <si>
    <t>name</t>
  </si>
  <si>
    <t>Diatomeae</t>
  </si>
  <si>
    <t>Excavata</t>
  </si>
  <si>
    <t>Proton pumps</t>
  </si>
  <si>
    <t>SAGs with PKS-I</t>
  </si>
  <si>
    <t>Ion-gated</t>
  </si>
  <si>
    <t>Bestrhodopsins (?)</t>
  </si>
  <si>
    <t>Non-eukaryotic</t>
  </si>
  <si>
    <t>FINAL</t>
  </si>
  <si>
    <t>SAR rho (?)</t>
  </si>
  <si>
    <t>8TM rho</t>
  </si>
  <si>
    <t>Enzyme activators</t>
  </si>
  <si>
    <t>New</t>
  </si>
  <si>
    <t>PKS-I</t>
  </si>
  <si>
    <t>PKS-II</t>
  </si>
  <si>
    <t>PKS-III</t>
  </si>
  <si>
    <t>Number of SAGs with a given gene family</t>
  </si>
  <si>
    <t>Number of  SAGs</t>
  </si>
  <si>
    <t>Rhodopsins</t>
  </si>
  <si>
    <t xml:space="preserve">Number of PKS genes </t>
  </si>
  <si>
    <t>Number of Rhodopsin genes</t>
  </si>
  <si>
    <t>8TM rhodopsins</t>
  </si>
  <si>
    <t>Enzymatic</t>
  </si>
  <si>
    <t>Unknown function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</si>
</sst>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4" x14ac:knownFonts="1">
    <font>
      <sz val="12"/>
      <color theme="1"/>
      <name val="Aptos Narrow"/>
      <family val="2"/>
      <scheme val="minor"/>
    </font>
    <font>
      <sz val="12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2"/>
      <color rgb="FF006100"/>
      <name val="Aptos Narrow"/>
      <family val="2"/>
      <scheme val="minor"/>
    </font>
    <font>
      <sz val="12"/>
      <color rgb="FF9C0006"/>
      <name val="Aptos Narrow"/>
      <family val="2"/>
      <scheme val="minor"/>
    </font>
    <font>
      <sz val="12"/>
      <color rgb="FF9C5700"/>
      <name val="Aptos Narrow"/>
      <family val="2"/>
      <scheme val="minor"/>
    </font>
    <font>
      <sz val="12"/>
      <color rgb="FF3F3F76"/>
      <name val="Aptos Narrow"/>
      <family val="2"/>
      <scheme val="minor"/>
    </font>
    <font>
      <b/>
      <sz val="12"/>
      <color rgb="FF3F3F3F"/>
      <name val="Aptos Narrow"/>
      <family val="2"/>
      <scheme val="minor"/>
    </font>
    <font>
      <b/>
      <sz val="12"/>
      <color rgb="FFFA7D00"/>
      <name val="Aptos Narrow"/>
      <family val="2"/>
      <scheme val="minor"/>
    </font>
    <font>
      <sz val="12"/>
      <color rgb="FFFA7D00"/>
      <name val="Aptos Narrow"/>
      <family val="2"/>
      <scheme val="minor"/>
    </font>
    <font>
      <b/>
      <sz val="12"/>
      <color theme="0"/>
      <name val="Aptos Narrow"/>
      <family val="2"/>
      <scheme val="minor"/>
    </font>
    <font>
      <sz val="12"/>
      <color rgb="FFFF0000"/>
      <name val="Aptos Narrow"/>
      <family val="2"/>
      <scheme val="minor"/>
    </font>
    <font>
      <i/>
      <sz val="12"/>
      <color rgb="FF7F7F7F"/>
      <name val="Aptos Narrow"/>
      <family val="2"/>
      <scheme val="minor"/>
    </font>
    <font>
      <b/>
      <sz val="12"/>
      <color theme="1"/>
      <name val="Aptos Narrow"/>
      <family val="2"/>
      <scheme val="minor"/>
    </font>
    <font>
      <sz val="12"/>
      <color theme="0"/>
      <name val="Aptos Narrow"/>
      <family val="2"/>
      <scheme val="minor"/>
    </font>
    <font>
      <b/>
      <sz val="12"/>
      <color theme="1"/>
      <name val="Aptos Narrow"/>
      <scheme val="minor"/>
    </font>
    <font>
      <sz val="12"/>
      <color theme="1"/>
      <name val="Aptos Narrow"/>
      <scheme val="minor"/>
    </font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b/>
      <sz val="11"/>
      <color theme="1"/>
      <name val="Calibri"/>
      <family val="2"/>
    </font>
    <font>
      <sz val="11"/>
      <color theme="1"/>
      <name val="Calibri"/>
      <family val="2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00"/>
        <bgColor indexed="64"/>
      </patternFill>
    </fill>
    <fill>
      <patternFill patternType="solid">
        <fgColor theme="0" tint="-0.249977111117893"/>
        <bgColor indexed="64"/>
      </patternFill>
    </fill>
  </fills>
  <borders count="24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43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  <xf numFmtId="0" fontId="20" fillId="0" borderId="0"/>
  </cellStyleXfs>
  <cellXfs count="96">
    <xf numFmtId="0" fontId="0" fillId="0" borderId="0" xfId="0"/>
    <xf numFmtId="0" fontId="0" fillId="0" borderId="10" xfId="0" applyBorder="1" applyAlignment="1">
      <alignment horizontal="center" vertical="center"/>
    </xf>
    <xf numFmtId="0" fontId="0" fillId="0" borderId="12" xfId="0" applyBorder="1" applyAlignment="1">
      <alignment horizontal="center" vertical="center"/>
    </xf>
    <xf numFmtId="0" fontId="0" fillId="0" borderId="11" xfId="0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0" fillId="0" borderId="17" xfId="0" applyBorder="1" applyAlignment="1">
      <alignment horizontal="center" vertical="center"/>
    </xf>
    <xf numFmtId="0" fontId="0" fillId="0" borderId="13" xfId="0" applyBorder="1" applyAlignment="1">
      <alignment horizontal="center" vertical="center"/>
    </xf>
    <xf numFmtId="0" fontId="0" fillId="0" borderId="18" xfId="0" applyBorder="1" applyAlignment="1">
      <alignment horizontal="center" vertical="center"/>
    </xf>
    <xf numFmtId="0" fontId="0" fillId="0" borderId="0" xfId="0" applyAlignment="1">
      <alignment horizontal="center"/>
    </xf>
    <xf numFmtId="0" fontId="0" fillId="0" borderId="16" xfId="0" applyBorder="1" applyAlignment="1">
      <alignment horizontal="center" vertical="center"/>
    </xf>
    <xf numFmtId="0" fontId="19" fillId="0" borderId="0" xfId="0" applyFont="1"/>
    <xf numFmtId="0" fontId="20" fillId="0" borderId="0" xfId="42"/>
    <xf numFmtId="0" fontId="20" fillId="0" borderId="0" xfId="42" applyAlignment="1">
      <alignment horizontal="left"/>
    </xf>
    <xf numFmtId="0" fontId="21" fillId="0" borderId="0" xfId="42" applyFont="1" applyAlignment="1">
      <alignment horizontal="center" vertical="center" wrapText="1"/>
    </xf>
    <xf numFmtId="0" fontId="0" fillId="0" borderId="0" xfId="0" applyAlignment="1">
      <alignment horizontal="center" wrapText="1"/>
    </xf>
    <xf numFmtId="0" fontId="0" fillId="33" borderId="0" xfId="0" applyFill="1"/>
    <xf numFmtId="0" fontId="20" fillId="0" borderId="0" xfId="0" applyFont="1"/>
    <xf numFmtId="0" fontId="14" fillId="0" borderId="0" xfId="0" applyFont="1" applyAlignment="1">
      <alignment horizontal="center"/>
    </xf>
    <xf numFmtId="0" fontId="20" fillId="0" borderId="0" xfId="0" applyFont="1" applyAlignment="1">
      <alignment horizontal="center"/>
    </xf>
    <xf numFmtId="0" fontId="20" fillId="34" borderId="0" xfId="0" applyFont="1" applyFill="1" applyAlignment="1">
      <alignment horizontal="center"/>
    </xf>
    <xf numFmtId="0" fontId="20" fillId="33" borderId="0" xfId="0" applyFont="1" applyFill="1" applyAlignment="1">
      <alignment horizontal="center"/>
    </xf>
    <xf numFmtId="0" fontId="20" fillId="0" borderId="0" xfId="0" applyFont="1" applyAlignment="1">
      <alignment horizontal="center" vertical="center"/>
    </xf>
    <xf numFmtId="0" fontId="18" fillId="0" borderId="0" xfId="0" applyFont="1" applyAlignment="1">
      <alignment horizontal="center"/>
    </xf>
    <xf numFmtId="0" fontId="22" fillId="0" borderId="0" xfId="0" applyFont="1" applyAlignment="1">
      <alignment horizontal="center" vertical="center"/>
    </xf>
    <xf numFmtId="0" fontId="23" fillId="0" borderId="0" xfId="0" applyFont="1"/>
    <xf numFmtId="0" fontId="23" fillId="0" borderId="14" xfId="0" applyFont="1" applyBorder="1" applyAlignment="1">
      <alignment horizontal="center" vertical="center"/>
    </xf>
    <xf numFmtId="0" fontId="23" fillId="0" borderId="15" xfId="0" applyFont="1" applyBorder="1" applyAlignment="1">
      <alignment horizontal="center" vertical="center"/>
    </xf>
    <xf numFmtId="0" fontId="23" fillId="0" borderId="16" xfId="0" applyFont="1" applyBorder="1" applyAlignment="1">
      <alignment horizontal="center" vertical="center"/>
    </xf>
    <xf numFmtId="0" fontId="23" fillId="0" borderId="19" xfId="0" applyFont="1" applyBorder="1" applyAlignment="1">
      <alignment horizontal="center" vertical="center"/>
    </xf>
    <xf numFmtId="0" fontId="23" fillId="0" borderId="18" xfId="0" applyFont="1" applyBorder="1" applyAlignment="1">
      <alignment horizontal="center" vertical="center"/>
    </xf>
    <xf numFmtId="0" fontId="23" fillId="0" borderId="10" xfId="0" applyFont="1" applyBorder="1" applyAlignment="1">
      <alignment horizontal="center" vertical="center"/>
    </xf>
    <xf numFmtId="0" fontId="23" fillId="0" borderId="12" xfId="0" applyFont="1" applyBorder="1" applyAlignment="1">
      <alignment horizontal="center" vertical="center"/>
    </xf>
    <xf numFmtId="0" fontId="23" fillId="0" borderId="11" xfId="0" applyFont="1" applyBorder="1" applyAlignment="1">
      <alignment horizontal="center" vertical="center"/>
    </xf>
    <xf numFmtId="0" fontId="23" fillId="0" borderId="0" xfId="0" applyFont="1" applyAlignment="1">
      <alignment horizontal="center" vertical="center"/>
    </xf>
    <xf numFmtId="0" fontId="23" fillId="0" borderId="17" xfId="0" applyFont="1" applyBorder="1" applyAlignment="1">
      <alignment horizontal="center" vertical="center"/>
    </xf>
    <xf numFmtId="0" fontId="23" fillId="0" borderId="13" xfId="0" applyFont="1" applyBorder="1" applyAlignment="1">
      <alignment horizontal="center" vertical="center"/>
    </xf>
    <xf numFmtId="0" fontId="23" fillId="0" borderId="0" xfId="0" applyFont="1" applyAlignment="1">
      <alignment horizontal="center"/>
    </xf>
    <xf numFmtId="0" fontId="23" fillId="0" borderId="21" xfId="0" applyFont="1" applyBorder="1" applyAlignment="1">
      <alignment horizontal="center"/>
    </xf>
    <xf numFmtId="0" fontId="23" fillId="0" borderId="22" xfId="0" applyFont="1" applyBorder="1" applyAlignment="1">
      <alignment horizontal="center"/>
    </xf>
    <xf numFmtId="0" fontId="23" fillId="0" borderId="23" xfId="0" applyFont="1" applyBorder="1" applyAlignment="1">
      <alignment horizontal="center"/>
    </xf>
    <xf numFmtId="0" fontId="23" fillId="0" borderId="17" xfId="0" applyFont="1" applyBorder="1" applyAlignment="1">
      <alignment horizontal="center"/>
    </xf>
    <xf numFmtId="0" fontId="23" fillId="0" borderId="13" xfId="0" applyFont="1" applyBorder="1" applyAlignment="1">
      <alignment horizontal="center"/>
    </xf>
    <xf numFmtId="0" fontId="23" fillId="0" borderId="10" xfId="0" applyFont="1" applyBorder="1" applyAlignment="1">
      <alignment horizontal="center"/>
    </xf>
    <xf numFmtId="0" fontId="23" fillId="0" borderId="12" xfId="0" applyFont="1" applyBorder="1" applyAlignment="1">
      <alignment horizontal="center"/>
    </xf>
    <xf numFmtId="0" fontId="23" fillId="0" borderId="11" xfId="0" applyFont="1" applyBorder="1" applyAlignment="1">
      <alignment horizontal="center"/>
    </xf>
    <xf numFmtId="0" fontId="23" fillId="0" borderId="19" xfId="0" applyFont="1" applyBorder="1" applyAlignment="1">
      <alignment horizontal="center"/>
    </xf>
    <xf numFmtId="0" fontId="23" fillId="0" borderId="18" xfId="0" applyFont="1" applyBorder="1" applyAlignment="1">
      <alignment horizontal="center"/>
    </xf>
    <xf numFmtId="0" fontId="22" fillId="0" borderId="0" xfId="0" applyFont="1" applyAlignment="1">
      <alignment horizontal="center"/>
    </xf>
    <xf numFmtId="0" fontId="22" fillId="0" borderId="0" xfId="0" applyFont="1" applyAlignment="1">
      <alignment horizontal="center" vertical="center"/>
    </xf>
    <xf numFmtId="0" fontId="22" fillId="0" borderId="11" xfId="0" applyFont="1" applyBorder="1" applyAlignment="1">
      <alignment horizontal="center" vertical="center"/>
    </xf>
    <xf numFmtId="0" fontId="22" fillId="0" borderId="0" xfId="0" applyFont="1" applyAlignment="1">
      <alignment horizontal="center" vertical="center" wrapText="1"/>
    </xf>
    <xf numFmtId="0" fontId="22" fillId="0" borderId="11" xfId="0" applyFont="1" applyBorder="1" applyAlignment="1">
      <alignment horizontal="center" vertical="center" wrapText="1"/>
    </xf>
    <xf numFmtId="0" fontId="23" fillId="0" borderId="18" xfId="0" applyFont="1" applyBorder="1" applyAlignment="1">
      <alignment horizontal="center" vertical="center" wrapText="1"/>
    </xf>
    <xf numFmtId="0" fontId="23" fillId="0" borderId="12" xfId="0" applyFont="1" applyBorder="1" applyAlignment="1">
      <alignment horizontal="center" vertical="center" wrapText="1"/>
    </xf>
    <xf numFmtId="0" fontId="23" fillId="0" borderId="21" xfId="0" applyFont="1" applyBorder="1" applyAlignment="1">
      <alignment horizontal="center" vertical="center" wrapText="1"/>
    </xf>
    <xf numFmtId="0" fontId="23" fillId="0" borderId="23" xfId="0" applyFont="1" applyBorder="1" applyAlignment="1">
      <alignment horizontal="center" vertical="center" wrapText="1"/>
    </xf>
    <xf numFmtId="0" fontId="23" fillId="0" borderId="19" xfId="0" applyFont="1" applyBorder="1" applyAlignment="1">
      <alignment horizontal="center" wrapText="1"/>
    </xf>
    <xf numFmtId="0" fontId="23" fillId="0" borderId="10" xfId="0" applyFont="1" applyBorder="1" applyAlignment="1">
      <alignment horizontal="center" wrapText="1"/>
    </xf>
    <xf numFmtId="0" fontId="23" fillId="0" borderId="18" xfId="0" applyFont="1" applyBorder="1" applyAlignment="1">
      <alignment horizontal="center" wrapText="1"/>
    </xf>
    <xf numFmtId="0" fontId="23" fillId="0" borderId="12" xfId="0" applyFont="1" applyBorder="1" applyAlignment="1">
      <alignment horizontal="center" wrapText="1"/>
    </xf>
    <xf numFmtId="0" fontId="23" fillId="0" borderId="19" xfId="0" applyFont="1" applyBorder="1" applyAlignment="1">
      <alignment horizontal="center" vertical="center" wrapText="1"/>
    </xf>
    <xf numFmtId="0" fontId="23" fillId="0" borderId="10" xfId="0" applyFont="1" applyBorder="1" applyAlignment="1">
      <alignment horizontal="center" vertical="center" wrapText="1"/>
    </xf>
    <xf numFmtId="0" fontId="22" fillId="0" borderId="11" xfId="0" applyFont="1" applyBorder="1" applyAlignment="1">
      <alignment horizontal="center"/>
    </xf>
    <xf numFmtId="0" fontId="23" fillId="0" borderId="14" xfId="0" applyFont="1" applyBorder="1" applyAlignment="1">
      <alignment horizontal="center" vertical="center"/>
    </xf>
    <xf numFmtId="0" fontId="23" fillId="0" borderId="15" xfId="0" applyFont="1" applyBorder="1" applyAlignment="1">
      <alignment horizontal="center" vertical="center"/>
    </xf>
    <xf numFmtId="0" fontId="23" fillId="0" borderId="16" xfId="0" applyFont="1" applyBorder="1" applyAlignment="1">
      <alignment horizontal="center" vertical="center"/>
    </xf>
    <xf numFmtId="0" fontId="23" fillId="0" borderId="21" xfId="0" applyFont="1" applyBorder="1" applyAlignment="1">
      <alignment horizontal="center" vertical="center"/>
    </xf>
    <xf numFmtId="0" fontId="23" fillId="0" borderId="23" xfId="0" applyFont="1" applyBorder="1" applyAlignment="1">
      <alignment horizontal="center" vertical="center"/>
    </xf>
    <xf numFmtId="0" fontId="23" fillId="0" borderId="18" xfId="0" applyFont="1" applyBorder="1" applyAlignment="1">
      <alignment horizontal="center" vertical="center"/>
    </xf>
    <xf numFmtId="0" fontId="23" fillId="0" borderId="12" xfId="0" applyFont="1" applyBorder="1" applyAlignment="1">
      <alignment horizontal="center" vertical="center"/>
    </xf>
    <xf numFmtId="0" fontId="23" fillId="0" borderId="13" xfId="0" applyFont="1" applyBorder="1" applyAlignment="1">
      <alignment horizontal="center" vertical="center" wrapText="1"/>
    </xf>
    <xf numFmtId="0" fontId="23" fillId="0" borderId="21" xfId="0" applyFont="1" applyBorder="1" applyAlignment="1">
      <alignment horizontal="center" wrapText="1"/>
    </xf>
    <xf numFmtId="0" fontId="23" fillId="0" borderId="23" xfId="0" applyFont="1" applyBorder="1" applyAlignment="1">
      <alignment horizontal="center" wrapText="1"/>
    </xf>
    <xf numFmtId="0" fontId="23" fillId="0" borderId="17" xfId="0" applyFont="1" applyBorder="1" applyAlignment="1">
      <alignment horizontal="center" vertical="center" wrapText="1"/>
    </xf>
    <xf numFmtId="0" fontId="23" fillId="0" borderId="19" xfId="0" applyFont="1" applyBorder="1" applyAlignment="1">
      <alignment horizontal="center" vertical="center"/>
    </xf>
    <xf numFmtId="0" fontId="23" fillId="0" borderId="10" xfId="0" applyFont="1" applyBorder="1" applyAlignment="1">
      <alignment horizontal="center" vertical="center"/>
    </xf>
    <xf numFmtId="0" fontId="23" fillId="0" borderId="20" xfId="0" applyFont="1" applyBorder="1" applyAlignment="1">
      <alignment horizontal="center" vertical="center"/>
    </xf>
    <xf numFmtId="0" fontId="23" fillId="0" borderId="11" xfId="0" applyFont="1" applyBorder="1" applyAlignment="1">
      <alignment horizontal="center" vertical="center"/>
    </xf>
    <xf numFmtId="0" fontId="0" fillId="0" borderId="14" xfId="0" applyBorder="1" applyAlignment="1">
      <alignment horizontal="center" vertical="center"/>
    </xf>
    <xf numFmtId="0" fontId="0" fillId="0" borderId="15" xfId="0" applyBorder="1" applyAlignment="1">
      <alignment horizontal="center" vertical="center"/>
    </xf>
    <xf numFmtId="0" fontId="0" fillId="0" borderId="16" xfId="0" applyBorder="1" applyAlignment="1">
      <alignment horizontal="center" vertical="center"/>
    </xf>
    <xf numFmtId="0" fontId="18" fillId="0" borderId="0" xfId="0" applyFont="1" applyAlignment="1">
      <alignment horizontal="center" vertical="center"/>
    </xf>
    <xf numFmtId="0" fontId="18" fillId="0" borderId="11" xfId="0" applyFont="1" applyBorder="1" applyAlignment="1">
      <alignment horizontal="center" vertical="center"/>
    </xf>
    <xf numFmtId="0" fontId="18" fillId="0" borderId="13" xfId="0" applyFont="1" applyBorder="1" applyAlignment="1">
      <alignment horizontal="center" vertical="center"/>
    </xf>
    <xf numFmtId="0" fontId="18" fillId="0" borderId="12" xfId="0" applyFont="1" applyBorder="1" applyAlignment="1">
      <alignment horizontal="center" vertical="center"/>
    </xf>
    <xf numFmtId="0" fontId="18" fillId="0" borderId="10" xfId="0" applyFont="1" applyBorder="1" applyAlignment="1">
      <alignment horizontal="center" vertical="center"/>
    </xf>
    <xf numFmtId="0" fontId="19" fillId="0" borderId="19" xfId="0" applyFont="1" applyBorder="1" applyAlignment="1">
      <alignment horizontal="center" vertical="center"/>
    </xf>
    <xf numFmtId="0" fontId="19" fillId="0" borderId="10" xfId="0" applyFont="1" applyBorder="1" applyAlignment="1">
      <alignment horizontal="center" vertical="center"/>
    </xf>
    <xf numFmtId="0" fontId="19" fillId="0" borderId="20" xfId="0" applyFont="1" applyBorder="1" applyAlignment="1">
      <alignment horizontal="center" vertical="center"/>
    </xf>
    <xf numFmtId="0" fontId="19" fillId="0" borderId="11" xfId="0" applyFont="1" applyBorder="1" applyAlignment="1">
      <alignment horizontal="center" vertical="center"/>
    </xf>
    <xf numFmtId="0" fontId="19" fillId="0" borderId="18" xfId="0" applyFont="1" applyBorder="1" applyAlignment="1">
      <alignment horizontal="center" vertical="center"/>
    </xf>
    <xf numFmtId="0" fontId="19" fillId="0" borderId="12" xfId="0" applyFont="1" applyBorder="1" applyAlignment="1">
      <alignment horizontal="center" vertical="center"/>
    </xf>
    <xf numFmtId="0" fontId="23" fillId="0" borderId="20" xfId="0" applyFont="1" applyBorder="1" applyAlignment="1">
      <alignment horizontal="center" wrapText="1"/>
    </xf>
    <xf numFmtId="0" fontId="23" fillId="0" borderId="11" xfId="0" applyFont="1" applyBorder="1" applyAlignment="1">
      <alignment horizontal="center" wrapText="1"/>
    </xf>
    <xf numFmtId="0" fontId="23" fillId="0" borderId="0" xfId="0" applyFont="1" applyBorder="1" applyAlignment="1">
      <alignment horizontal="center"/>
    </xf>
    <xf numFmtId="0" fontId="22" fillId="0" borderId="0" xfId="0" applyFont="1" applyBorder="1" applyAlignment="1">
      <alignment horizontal="center" wrapText="1"/>
    </xf>
  </cellXfs>
  <cellStyles count="43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rmal 2" xfId="42" xr:uid="{9881D7DF-602C-3D4F-A9E9-6F1578AF506A}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2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F76BB61-F121-814B-843C-237E570C98CB}">
  <dimension ref="A1:Y39"/>
  <sheetViews>
    <sheetView showGridLines="0" topLeftCell="B1" workbookViewId="0">
      <selection activeCell="K41" sqref="K41"/>
    </sheetView>
  </sheetViews>
  <sheetFormatPr baseColWidth="10" defaultRowHeight="15" x14ac:dyDescent="0.2"/>
  <cols>
    <col min="1" max="1" width="18.33203125" style="24" customWidth="1"/>
    <col min="2" max="2" width="21.6640625" style="24" customWidth="1"/>
    <col min="3" max="3" width="10.83203125" style="24"/>
    <col min="4" max="4" width="3.5" style="24" customWidth="1"/>
    <col min="5" max="25" width="10.33203125" style="24" customWidth="1"/>
    <col min="26" max="16384" width="10.83203125" style="24"/>
  </cols>
  <sheetData>
    <row r="1" spans="1:25" ht="18" customHeight="1" x14ac:dyDescent="0.2">
      <c r="A1" s="48" t="s">
        <v>0</v>
      </c>
      <c r="B1" s="48" t="s">
        <v>1</v>
      </c>
      <c r="C1" s="48" t="s">
        <v>51</v>
      </c>
      <c r="D1" s="23"/>
      <c r="E1" s="48" t="s">
        <v>52</v>
      </c>
      <c r="F1" s="48"/>
      <c r="G1" s="48"/>
      <c r="H1" s="48"/>
      <c r="I1" s="48"/>
      <c r="J1" s="48"/>
      <c r="K1" s="48" t="s">
        <v>8</v>
      </c>
      <c r="L1" s="48"/>
      <c r="M1" s="48" t="s">
        <v>9</v>
      </c>
      <c r="N1" s="48"/>
      <c r="Q1" s="47" t="s">
        <v>465</v>
      </c>
      <c r="R1" s="47"/>
      <c r="S1" s="47" t="s">
        <v>467</v>
      </c>
      <c r="T1" s="47"/>
      <c r="U1" s="47" t="s">
        <v>473</v>
      </c>
      <c r="V1" s="47"/>
      <c r="W1" s="36" t="s">
        <v>474</v>
      </c>
      <c r="X1" s="47" t="s">
        <v>469</v>
      </c>
      <c r="Y1" s="47"/>
    </row>
    <row r="2" spans="1:25" ht="18" customHeight="1" x14ac:dyDescent="0.2">
      <c r="A2" s="48"/>
      <c r="B2" s="48"/>
      <c r="C2" s="48"/>
      <c r="D2" s="23"/>
      <c r="E2" s="63" t="s">
        <v>466</v>
      </c>
      <c r="F2" s="64"/>
      <c r="G2" s="63" t="s">
        <v>54</v>
      </c>
      <c r="H2" s="65"/>
      <c r="I2" s="65"/>
      <c r="J2" s="64"/>
      <c r="K2" s="74" t="s">
        <v>205</v>
      </c>
      <c r="L2" s="76" t="s">
        <v>206</v>
      </c>
      <c r="M2" s="74" t="s">
        <v>205</v>
      </c>
      <c r="N2" s="68" t="s">
        <v>206</v>
      </c>
      <c r="P2" s="71" t="s">
        <v>207</v>
      </c>
      <c r="Q2" s="56" t="s">
        <v>213</v>
      </c>
      <c r="R2" s="58" t="s">
        <v>215</v>
      </c>
      <c r="S2" s="56" t="s">
        <v>208</v>
      </c>
      <c r="T2" s="58" t="s">
        <v>468</v>
      </c>
      <c r="U2" s="60" t="s">
        <v>472</v>
      </c>
      <c r="V2" s="52" t="s">
        <v>471</v>
      </c>
      <c r="W2" s="54" t="s">
        <v>212</v>
      </c>
      <c r="X2" s="56" t="s">
        <v>57</v>
      </c>
      <c r="Y2" s="58" t="s">
        <v>211</v>
      </c>
    </row>
    <row r="3" spans="1:25" ht="18" customHeight="1" x14ac:dyDescent="0.2">
      <c r="A3" s="49"/>
      <c r="B3" s="49"/>
      <c r="C3" s="49"/>
      <c r="D3" s="23"/>
      <c r="E3" s="30" t="s">
        <v>2</v>
      </c>
      <c r="F3" s="31" t="s">
        <v>3</v>
      </c>
      <c r="G3" s="32" t="s">
        <v>6</v>
      </c>
      <c r="H3" s="32" t="s">
        <v>7</v>
      </c>
      <c r="I3" s="32" t="s">
        <v>4</v>
      </c>
      <c r="J3" s="26" t="s">
        <v>5</v>
      </c>
      <c r="K3" s="75"/>
      <c r="L3" s="77"/>
      <c r="M3" s="75"/>
      <c r="N3" s="69"/>
      <c r="P3" s="72"/>
      <c r="Q3" s="57"/>
      <c r="R3" s="59"/>
      <c r="S3" s="57"/>
      <c r="T3" s="59"/>
      <c r="U3" s="73"/>
      <c r="V3" s="70"/>
      <c r="W3" s="55"/>
      <c r="X3" s="57"/>
      <c r="Y3" s="59"/>
    </row>
    <row r="4" spans="1:25" ht="17" customHeight="1" x14ac:dyDescent="0.2">
      <c r="A4" s="33" t="s">
        <v>10</v>
      </c>
      <c r="B4" s="33" t="s">
        <v>11</v>
      </c>
      <c r="C4" s="33">
        <v>1</v>
      </c>
      <c r="D4" s="33"/>
      <c r="E4" s="33">
        <v>0</v>
      </c>
      <c r="F4" s="35">
        <v>0</v>
      </c>
      <c r="G4" s="33">
        <v>0</v>
      </c>
      <c r="H4" s="33">
        <v>0</v>
      </c>
      <c r="I4" s="33">
        <v>0</v>
      </c>
      <c r="J4" s="29">
        <v>0</v>
      </c>
      <c r="K4" s="34">
        <v>0</v>
      </c>
      <c r="L4" s="35">
        <v>0</v>
      </c>
      <c r="M4" s="34">
        <v>0</v>
      </c>
      <c r="N4" s="35">
        <v>0</v>
      </c>
      <c r="P4" s="37">
        <v>0</v>
      </c>
      <c r="Q4" s="40">
        <v>0</v>
      </c>
      <c r="R4" s="41">
        <v>0</v>
      </c>
      <c r="S4" s="40">
        <v>0</v>
      </c>
      <c r="T4" s="36">
        <v>0</v>
      </c>
      <c r="U4" s="45">
        <v>0</v>
      </c>
      <c r="V4" s="46">
        <v>0</v>
      </c>
      <c r="W4" s="38">
        <v>0</v>
      </c>
      <c r="X4" s="40">
        <v>0</v>
      </c>
      <c r="Y4" s="41">
        <v>0</v>
      </c>
    </row>
    <row r="5" spans="1:25" ht="17" customHeight="1" x14ac:dyDescent="0.2">
      <c r="A5" s="33" t="s">
        <v>10</v>
      </c>
      <c r="B5" s="33" t="s">
        <v>12</v>
      </c>
      <c r="C5" s="33">
        <v>1</v>
      </c>
      <c r="D5" s="33"/>
      <c r="E5" s="33">
        <v>0</v>
      </c>
      <c r="F5" s="35">
        <v>0</v>
      </c>
      <c r="G5" s="33">
        <v>0</v>
      </c>
      <c r="H5" s="33">
        <v>0</v>
      </c>
      <c r="I5" s="33">
        <v>0</v>
      </c>
      <c r="J5" s="35">
        <v>0</v>
      </c>
      <c r="K5" s="34">
        <v>1</v>
      </c>
      <c r="L5" s="35">
        <v>1</v>
      </c>
      <c r="M5" s="34">
        <v>0</v>
      </c>
      <c r="N5" s="35">
        <v>0</v>
      </c>
      <c r="P5" s="38">
        <v>1</v>
      </c>
      <c r="Q5" s="40">
        <v>0</v>
      </c>
      <c r="R5" s="41">
        <v>0</v>
      </c>
      <c r="S5" s="40">
        <v>0</v>
      </c>
      <c r="T5" s="36">
        <v>3</v>
      </c>
      <c r="U5" s="40">
        <v>0</v>
      </c>
      <c r="V5" s="41">
        <v>0</v>
      </c>
      <c r="W5" s="38">
        <v>0</v>
      </c>
      <c r="X5" s="40">
        <v>0</v>
      </c>
      <c r="Y5" s="41">
        <v>0</v>
      </c>
    </row>
    <row r="6" spans="1:25" ht="17" customHeight="1" x14ac:dyDescent="0.2">
      <c r="A6" s="33" t="s">
        <v>10</v>
      </c>
      <c r="B6" s="33" t="s">
        <v>13</v>
      </c>
      <c r="C6" s="33">
        <v>4</v>
      </c>
      <c r="D6" s="33"/>
      <c r="E6" s="33">
        <v>1</v>
      </c>
      <c r="F6" s="35">
        <v>1</v>
      </c>
      <c r="G6" s="33">
        <v>3</v>
      </c>
      <c r="H6" s="33">
        <v>0</v>
      </c>
      <c r="I6" s="33">
        <v>0</v>
      </c>
      <c r="J6" s="35">
        <v>1</v>
      </c>
      <c r="K6" s="34">
        <v>0</v>
      </c>
      <c r="L6" s="35">
        <v>0</v>
      </c>
      <c r="M6" s="34">
        <v>0</v>
      </c>
      <c r="N6" s="35">
        <v>0</v>
      </c>
      <c r="P6" s="38">
        <v>0</v>
      </c>
      <c r="Q6" s="40">
        <v>0</v>
      </c>
      <c r="R6" s="41">
        <v>0</v>
      </c>
      <c r="S6" s="40">
        <v>0</v>
      </c>
      <c r="T6" s="36">
        <v>0</v>
      </c>
      <c r="U6" s="40">
        <v>0</v>
      </c>
      <c r="V6" s="41">
        <v>0</v>
      </c>
      <c r="W6" s="38">
        <v>0</v>
      </c>
      <c r="X6" s="40">
        <v>0</v>
      </c>
      <c r="Y6" s="41">
        <v>0</v>
      </c>
    </row>
    <row r="7" spans="1:25" ht="16" customHeight="1" x14ac:dyDescent="0.2">
      <c r="A7" s="33" t="s">
        <v>10</v>
      </c>
      <c r="B7" s="33" t="s">
        <v>14</v>
      </c>
      <c r="C7" s="33">
        <v>5</v>
      </c>
      <c r="D7" s="33"/>
      <c r="E7" s="33">
        <v>0</v>
      </c>
      <c r="F7" s="35">
        <v>2</v>
      </c>
      <c r="G7" s="33">
        <v>0</v>
      </c>
      <c r="H7" s="33">
        <v>0</v>
      </c>
      <c r="I7" s="33">
        <v>2</v>
      </c>
      <c r="J7" s="35">
        <v>3</v>
      </c>
      <c r="K7" s="34">
        <v>0</v>
      </c>
      <c r="L7" s="35">
        <v>0</v>
      </c>
      <c r="M7" s="34">
        <v>0</v>
      </c>
      <c r="N7" s="35">
        <v>0</v>
      </c>
      <c r="P7" s="38">
        <v>4</v>
      </c>
      <c r="Q7" s="40">
        <v>15</v>
      </c>
      <c r="R7" s="41">
        <v>0</v>
      </c>
      <c r="S7" s="40">
        <v>0</v>
      </c>
      <c r="T7" s="36">
        <v>2</v>
      </c>
      <c r="U7" s="40">
        <v>0</v>
      </c>
      <c r="V7" s="41">
        <v>0</v>
      </c>
      <c r="W7" s="38">
        <v>0</v>
      </c>
      <c r="X7" s="40">
        <v>0</v>
      </c>
      <c r="Y7" s="41">
        <v>0</v>
      </c>
    </row>
    <row r="8" spans="1:25" ht="17" customHeight="1" x14ac:dyDescent="0.2">
      <c r="A8" s="33" t="s">
        <v>15</v>
      </c>
      <c r="B8" s="33" t="s">
        <v>16</v>
      </c>
      <c r="C8" s="33">
        <v>2</v>
      </c>
      <c r="D8" s="33"/>
      <c r="E8" s="33">
        <v>0</v>
      </c>
      <c r="F8" s="35">
        <v>2</v>
      </c>
      <c r="G8" s="33">
        <v>0</v>
      </c>
      <c r="H8" s="33">
        <v>16</v>
      </c>
      <c r="I8" s="33">
        <v>0</v>
      </c>
      <c r="J8" s="35">
        <v>7</v>
      </c>
      <c r="K8" s="34">
        <v>0</v>
      </c>
      <c r="L8" s="35">
        <v>0</v>
      </c>
      <c r="M8" s="34">
        <v>0</v>
      </c>
      <c r="N8" s="35">
        <v>0</v>
      </c>
      <c r="P8" s="38">
        <v>1</v>
      </c>
      <c r="Q8" s="40">
        <v>0</v>
      </c>
      <c r="R8" s="41">
        <v>0</v>
      </c>
      <c r="S8" s="40">
        <v>3</v>
      </c>
      <c r="T8" s="36">
        <v>0</v>
      </c>
      <c r="U8" s="40">
        <v>3</v>
      </c>
      <c r="V8" s="41">
        <v>0</v>
      </c>
      <c r="W8" s="38">
        <v>0</v>
      </c>
      <c r="X8" s="40">
        <v>0</v>
      </c>
      <c r="Y8" s="41">
        <v>0</v>
      </c>
    </row>
    <row r="9" spans="1:25" ht="17" customHeight="1" x14ac:dyDescent="0.2">
      <c r="A9" s="33" t="s">
        <v>15</v>
      </c>
      <c r="B9" s="33" t="s">
        <v>17</v>
      </c>
      <c r="C9" s="33">
        <v>1</v>
      </c>
      <c r="D9" s="33"/>
      <c r="E9" s="33">
        <v>0</v>
      </c>
      <c r="F9" s="35">
        <v>0</v>
      </c>
      <c r="G9" s="33">
        <v>0</v>
      </c>
      <c r="H9" s="33">
        <v>0</v>
      </c>
      <c r="I9" s="33">
        <v>0</v>
      </c>
      <c r="J9" s="35">
        <v>0</v>
      </c>
      <c r="K9" s="34">
        <v>0</v>
      </c>
      <c r="L9" s="35">
        <v>0</v>
      </c>
      <c r="M9" s="34">
        <v>0</v>
      </c>
      <c r="N9" s="35">
        <v>0</v>
      </c>
      <c r="P9" s="38">
        <v>0</v>
      </c>
      <c r="Q9" s="40">
        <v>0</v>
      </c>
      <c r="R9" s="41">
        <v>0</v>
      </c>
      <c r="S9" s="40">
        <v>0</v>
      </c>
      <c r="T9" s="36">
        <v>0</v>
      </c>
      <c r="U9" s="40">
        <v>0</v>
      </c>
      <c r="V9" s="41">
        <v>0</v>
      </c>
      <c r="W9" s="38">
        <v>0</v>
      </c>
      <c r="X9" s="40">
        <v>0</v>
      </c>
      <c r="Y9" s="41">
        <v>0</v>
      </c>
    </row>
    <row r="10" spans="1:25" ht="17" customHeight="1" x14ac:dyDescent="0.2">
      <c r="A10" s="33" t="s">
        <v>15</v>
      </c>
      <c r="B10" s="33" t="s">
        <v>18</v>
      </c>
      <c r="C10" s="33">
        <v>11</v>
      </c>
      <c r="D10" s="33"/>
      <c r="E10" s="33">
        <v>1</v>
      </c>
      <c r="F10" s="35">
        <v>9</v>
      </c>
      <c r="G10" s="33">
        <v>3</v>
      </c>
      <c r="H10" s="33">
        <v>54</v>
      </c>
      <c r="I10" s="33">
        <v>2</v>
      </c>
      <c r="J10" s="35">
        <v>34</v>
      </c>
      <c r="K10" s="34">
        <v>1</v>
      </c>
      <c r="L10" s="35">
        <v>2</v>
      </c>
      <c r="M10" s="34">
        <v>2</v>
      </c>
      <c r="N10" s="35">
        <v>2</v>
      </c>
      <c r="P10" s="38">
        <v>6</v>
      </c>
      <c r="Q10" s="40">
        <v>0</v>
      </c>
      <c r="R10" s="41">
        <v>0</v>
      </c>
      <c r="S10" s="40">
        <v>2</v>
      </c>
      <c r="T10" s="36">
        <v>0</v>
      </c>
      <c r="U10" s="40">
        <v>12</v>
      </c>
      <c r="V10" s="41">
        <v>0</v>
      </c>
      <c r="W10" s="38">
        <v>0</v>
      </c>
      <c r="X10" s="40">
        <v>0</v>
      </c>
      <c r="Y10" s="41">
        <v>0</v>
      </c>
    </row>
    <row r="11" spans="1:25" ht="17" customHeight="1" x14ac:dyDescent="0.2">
      <c r="A11" s="33" t="s">
        <v>15</v>
      </c>
      <c r="B11" s="33" t="s">
        <v>19</v>
      </c>
      <c r="C11" s="33">
        <v>4</v>
      </c>
      <c r="D11" s="33"/>
      <c r="E11" s="33">
        <v>2</v>
      </c>
      <c r="F11" s="35">
        <v>2</v>
      </c>
      <c r="G11" s="33">
        <v>15</v>
      </c>
      <c r="H11" s="33">
        <v>2</v>
      </c>
      <c r="I11" s="33">
        <v>0</v>
      </c>
      <c r="J11" s="35">
        <v>2</v>
      </c>
      <c r="K11" s="34">
        <v>2</v>
      </c>
      <c r="L11" s="35">
        <v>7</v>
      </c>
      <c r="M11" s="34">
        <v>0</v>
      </c>
      <c r="N11" s="35">
        <v>0</v>
      </c>
      <c r="P11" s="38">
        <v>0</v>
      </c>
      <c r="Q11" s="40">
        <v>0</v>
      </c>
      <c r="R11" s="41">
        <v>0</v>
      </c>
      <c r="S11" s="40">
        <v>0</v>
      </c>
      <c r="T11" s="36">
        <v>0</v>
      </c>
      <c r="U11" s="40">
        <v>0</v>
      </c>
      <c r="V11" s="41">
        <v>0</v>
      </c>
      <c r="W11" s="38">
        <v>0</v>
      </c>
      <c r="X11" s="40">
        <v>0</v>
      </c>
      <c r="Y11" s="41">
        <v>0</v>
      </c>
    </row>
    <row r="12" spans="1:25" ht="17" customHeight="1" x14ac:dyDescent="0.2">
      <c r="A12" s="33" t="s">
        <v>20</v>
      </c>
      <c r="B12" s="33" t="s">
        <v>21</v>
      </c>
      <c r="C12" s="33">
        <v>1</v>
      </c>
      <c r="D12" s="33"/>
      <c r="E12" s="33">
        <v>0</v>
      </c>
      <c r="F12" s="35">
        <v>1</v>
      </c>
      <c r="G12" s="33">
        <v>0</v>
      </c>
      <c r="H12" s="33">
        <v>0</v>
      </c>
      <c r="I12" s="33">
        <v>0</v>
      </c>
      <c r="J12" s="35">
        <v>1</v>
      </c>
      <c r="K12" s="34">
        <v>1</v>
      </c>
      <c r="L12" s="35">
        <v>1</v>
      </c>
      <c r="M12" s="34">
        <v>0</v>
      </c>
      <c r="N12" s="35">
        <v>0</v>
      </c>
      <c r="P12" s="38">
        <v>0</v>
      </c>
      <c r="Q12" s="40">
        <v>0</v>
      </c>
      <c r="R12" s="41">
        <v>0</v>
      </c>
      <c r="S12" s="40">
        <v>0</v>
      </c>
      <c r="T12" s="36">
        <v>0</v>
      </c>
      <c r="U12" s="40">
        <v>0</v>
      </c>
      <c r="V12" s="41">
        <v>0</v>
      </c>
      <c r="W12" s="38">
        <v>0</v>
      </c>
      <c r="X12" s="40">
        <v>0</v>
      </c>
      <c r="Y12" s="41">
        <v>0</v>
      </c>
    </row>
    <row r="13" spans="1:25" ht="17" customHeight="1" x14ac:dyDescent="0.2">
      <c r="A13" s="33" t="s">
        <v>22</v>
      </c>
      <c r="B13" s="33" t="s">
        <v>23</v>
      </c>
      <c r="C13" s="33">
        <v>2</v>
      </c>
      <c r="D13" s="33"/>
      <c r="E13" s="33">
        <v>2</v>
      </c>
      <c r="F13" s="35">
        <v>0</v>
      </c>
      <c r="G13" s="33">
        <v>39</v>
      </c>
      <c r="H13" s="33">
        <v>4</v>
      </c>
      <c r="I13" s="33">
        <v>2</v>
      </c>
      <c r="J13" s="35">
        <v>3</v>
      </c>
      <c r="K13" s="34">
        <v>2</v>
      </c>
      <c r="L13" s="35">
        <v>4</v>
      </c>
      <c r="M13" s="34">
        <v>0</v>
      </c>
      <c r="N13" s="35">
        <v>0</v>
      </c>
      <c r="P13" s="38">
        <v>0</v>
      </c>
      <c r="Q13" s="40">
        <v>0</v>
      </c>
      <c r="R13" s="41">
        <v>0</v>
      </c>
      <c r="S13" s="40">
        <v>0</v>
      </c>
      <c r="T13" s="36">
        <v>0</v>
      </c>
      <c r="U13" s="40">
        <v>0</v>
      </c>
      <c r="V13" s="41">
        <v>0</v>
      </c>
      <c r="W13" s="38">
        <v>0</v>
      </c>
      <c r="X13" s="40">
        <v>0</v>
      </c>
      <c r="Y13" s="41">
        <v>0</v>
      </c>
    </row>
    <row r="14" spans="1:25" ht="17" customHeight="1" x14ac:dyDescent="0.2">
      <c r="A14" s="33" t="s">
        <v>22</v>
      </c>
      <c r="B14" s="33" t="s">
        <v>24</v>
      </c>
      <c r="C14" s="33">
        <v>45</v>
      </c>
      <c r="D14" s="33"/>
      <c r="E14" s="33">
        <v>27</v>
      </c>
      <c r="F14" s="35">
        <v>18</v>
      </c>
      <c r="G14" s="33">
        <v>156</v>
      </c>
      <c r="H14" s="33">
        <v>2260</v>
      </c>
      <c r="I14" s="33">
        <v>16</v>
      </c>
      <c r="J14" s="35">
        <v>504</v>
      </c>
      <c r="K14" s="34">
        <v>42</v>
      </c>
      <c r="L14" s="35">
        <v>271</v>
      </c>
      <c r="M14" s="34">
        <v>24</v>
      </c>
      <c r="N14" s="35">
        <v>42</v>
      </c>
      <c r="P14" s="38">
        <v>31</v>
      </c>
      <c r="Q14" s="40">
        <v>0</v>
      </c>
      <c r="R14" s="41">
        <v>17</v>
      </c>
      <c r="S14" s="40">
        <v>19</v>
      </c>
      <c r="T14" s="36">
        <v>1</v>
      </c>
      <c r="U14" s="40">
        <v>35</v>
      </c>
      <c r="V14" s="41">
        <v>0</v>
      </c>
      <c r="W14" s="38">
        <v>4</v>
      </c>
      <c r="X14" s="40">
        <v>0</v>
      </c>
      <c r="Y14" s="41">
        <v>0</v>
      </c>
    </row>
    <row r="15" spans="1:25" ht="17" customHeight="1" x14ac:dyDescent="0.2">
      <c r="A15" s="33" t="s">
        <v>25</v>
      </c>
      <c r="B15" s="33" t="s">
        <v>26</v>
      </c>
      <c r="C15" s="33">
        <v>1</v>
      </c>
      <c r="D15" s="33"/>
      <c r="E15" s="33">
        <v>0</v>
      </c>
      <c r="F15" s="35">
        <v>1</v>
      </c>
      <c r="G15" s="33">
        <v>0</v>
      </c>
      <c r="H15" s="33">
        <v>0</v>
      </c>
      <c r="I15" s="33">
        <v>2</v>
      </c>
      <c r="J15" s="35">
        <v>1</v>
      </c>
      <c r="K15" s="34">
        <v>0</v>
      </c>
      <c r="L15" s="35">
        <v>0</v>
      </c>
      <c r="M15" s="34">
        <v>0</v>
      </c>
      <c r="N15" s="35">
        <v>0</v>
      </c>
      <c r="P15" s="38">
        <v>0</v>
      </c>
      <c r="Q15" s="40">
        <v>0</v>
      </c>
      <c r="R15" s="41">
        <v>0</v>
      </c>
      <c r="S15" s="40">
        <v>0</v>
      </c>
      <c r="T15" s="36">
        <v>0</v>
      </c>
      <c r="U15" s="40">
        <v>0</v>
      </c>
      <c r="V15" s="41">
        <v>0</v>
      </c>
      <c r="W15" s="38">
        <v>0</v>
      </c>
      <c r="X15" s="40">
        <v>0</v>
      </c>
      <c r="Y15" s="41">
        <v>0</v>
      </c>
    </row>
    <row r="16" spans="1:25" ht="17" customHeight="1" x14ac:dyDescent="0.2">
      <c r="A16" s="33" t="s">
        <v>25</v>
      </c>
      <c r="B16" s="33" t="s">
        <v>27</v>
      </c>
      <c r="C16" s="33">
        <v>5</v>
      </c>
      <c r="D16" s="33"/>
      <c r="E16" s="33">
        <v>1</v>
      </c>
      <c r="F16" s="35">
        <v>3</v>
      </c>
      <c r="G16" s="33">
        <v>3</v>
      </c>
      <c r="H16" s="33">
        <v>6</v>
      </c>
      <c r="I16" s="33">
        <v>4</v>
      </c>
      <c r="J16" s="35">
        <v>4</v>
      </c>
      <c r="K16" s="34">
        <v>1</v>
      </c>
      <c r="L16" s="35">
        <v>2</v>
      </c>
      <c r="M16" s="34">
        <v>0</v>
      </c>
      <c r="N16" s="35">
        <v>0</v>
      </c>
      <c r="P16" s="38">
        <v>0</v>
      </c>
      <c r="Q16" s="40">
        <v>0</v>
      </c>
      <c r="R16" s="41">
        <v>0</v>
      </c>
      <c r="S16" s="40">
        <v>0</v>
      </c>
      <c r="T16" s="36">
        <v>0</v>
      </c>
      <c r="U16" s="40">
        <v>0</v>
      </c>
      <c r="V16" s="41">
        <v>0</v>
      </c>
      <c r="W16" s="38">
        <v>0</v>
      </c>
      <c r="X16" s="40">
        <v>0</v>
      </c>
      <c r="Y16" s="41">
        <v>0</v>
      </c>
    </row>
    <row r="17" spans="1:25" ht="17" customHeight="1" x14ac:dyDescent="0.2">
      <c r="A17" s="33" t="s">
        <v>25</v>
      </c>
      <c r="B17" s="33" t="s">
        <v>28</v>
      </c>
      <c r="C17" s="33">
        <v>1</v>
      </c>
      <c r="D17" s="33"/>
      <c r="E17" s="33">
        <v>0</v>
      </c>
      <c r="F17" s="35">
        <v>1</v>
      </c>
      <c r="G17" s="33">
        <v>0</v>
      </c>
      <c r="H17" s="33">
        <v>0</v>
      </c>
      <c r="I17" s="33">
        <v>0</v>
      </c>
      <c r="J17" s="35">
        <v>1</v>
      </c>
      <c r="K17" s="34">
        <v>1</v>
      </c>
      <c r="L17" s="35">
        <v>1</v>
      </c>
      <c r="M17" s="34">
        <v>0</v>
      </c>
      <c r="N17" s="35">
        <v>0</v>
      </c>
      <c r="P17" s="38">
        <v>0</v>
      </c>
      <c r="Q17" s="40">
        <v>0</v>
      </c>
      <c r="R17" s="41">
        <v>0</v>
      </c>
      <c r="S17" s="40">
        <v>0</v>
      </c>
      <c r="T17" s="36">
        <v>0</v>
      </c>
      <c r="U17" s="40">
        <v>0</v>
      </c>
      <c r="V17" s="41">
        <v>0</v>
      </c>
      <c r="W17" s="38">
        <v>0</v>
      </c>
      <c r="X17" s="40">
        <v>0</v>
      </c>
      <c r="Y17" s="41">
        <v>0</v>
      </c>
    </row>
    <row r="18" spans="1:25" ht="17" customHeight="1" x14ac:dyDescent="0.2">
      <c r="A18" s="33" t="s">
        <v>29</v>
      </c>
      <c r="B18" s="33" t="s">
        <v>30</v>
      </c>
      <c r="C18" s="33">
        <v>2</v>
      </c>
      <c r="D18" s="33"/>
      <c r="E18" s="33">
        <v>0</v>
      </c>
      <c r="F18" s="35">
        <v>1</v>
      </c>
      <c r="G18" s="33">
        <v>0</v>
      </c>
      <c r="H18" s="33">
        <v>0</v>
      </c>
      <c r="I18" s="33">
        <v>2</v>
      </c>
      <c r="J18" s="35">
        <v>0</v>
      </c>
      <c r="K18" s="34">
        <v>0</v>
      </c>
      <c r="L18" s="35">
        <v>0</v>
      </c>
      <c r="M18" s="34">
        <v>0</v>
      </c>
      <c r="N18" s="35">
        <v>0</v>
      </c>
      <c r="P18" s="38">
        <v>0</v>
      </c>
      <c r="Q18" s="40">
        <v>0</v>
      </c>
      <c r="R18" s="41">
        <v>0</v>
      </c>
      <c r="S18" s="40">
        <v>0</v>
      </c>
      <c r="T18" s="36">
        <v>0</v>
      </c>
      <c r="U18" s="40">
        <v>0</v>
      </c>
      <c r="V18" s="41">
        <v>0</v>
      </c>
      <c r="W18" s="38">
        <v>0</v>
      </c>
      <c r="X18" s="40">
        <v>0</v>
      </c>
      <c r="Y18" s="41">
        <v>0</v>
      </c>
    </row>
    <row r="19" spans="1:25" ht="17" customHeight="1" x14ac:dyDescent="0.2">
      <c r="A19" s="33" t="s">
        <v>29</v>
      </c>
      <c r="B19" s="33" t="s">
        <v>31</v>
      </c>
      <c r="C19" s="33">
        <v>3</v>
      </c>
      <c r="D19" s="33"/>
      <c r="E19" s="33">
        <v>1</v>
      </c>
      <c r="F19" s="35">
        <v>2</v>
      </c>
      <c r="G19" s="33">
        <v>6</v>
      </c>
      <c r="H19" s="33">
        <v>0</v>
      </c>
      <c r="I19" s="33">
        <v>0</v>
      </c>
      <c r="J19" s="35">
        <v>4</v>
      </c>
      <c r="K19" s="34">
        <v>3</v>
      </c>
      <c r="L19" s="35">
        <v>5</v>
      </c>
      <c r="M19" s="34">
        <v>0</v>
      </c>
      <c r="N19" s="35">
        <v>0</v>
      </c>
      <c r="P19" s="38">
        <v>2</v>
      </c>
      <c r="Q19" s="40">
        <v>0</v>
      </c>
      <c r="R19" s="41">
        <v>0</v>
      </c>
      <c r="S19" s="40">
        <v>0</v>
      </c>
      <c r="T19" s="36">
        <v>0</v>
      </c>
      <c r="U19" s="40">
        <v>0</v>
      </c>
      <c r="V19" s="41">
        <v>4</v>
      </c>
      <c r="W19" s="38">
        <v>0</v>
      </c>
      <c r="X19" s="40">
        <v>0</v>
      </c>
      <c r="Y19" s="41">
        <v>0</v>
      </c>
    </row>
    <row r="20" spans="1:25" ht="17" customHeight="1" x14ac:dyDescent="0.2">
      <c r="A20" s="33" t="s">
        <v>29</v>
      </c>
      <c r="B20" s="33" t="s">
        <v>32</v>
      </c>
      <c r="C20" s="33">
        <v>1</v>
      </c>
      <c r="D20" s="33"/>
      <c r="E20" s="33">
        <v>1</v>
      </c>
      <c r="F20" s="35">
        <v>0</v>
      </c>
      <c r="G20" s="33">
        <v>3</v>
      </c>
      <c r="H20" s="33">
        <v>0</v>
      </c>
      <c r="I20" s="33">
        <v>0</v>
      </c>
      <c r="J20" s="35">
        <v>1</v>
      </c>
      <c r="K20" s="34">
        <v>0</v>
      </c>
      <c r="L20" s="35">
        <v>0</v>
      </c>
      <c r="M20" s="34">
        <v>0</v>
      </c>
      <c r="N20" s="35">
        <v>0</v>
      </c>
      <c r="P20" s="38">
        <v>1</v>
      </c>
      <c r="Q20" s="40">
        <v>0</v>
      </c>
      <c r="R20" s="41">
        <v>0</v>
      </c>
      <c r="S20" s="40">
        <v>1</v>
      </c>
      <c r="T20" s="36">
        <v>0</v>
      </c>
      <c r="U20" s="40">
        <v>2</v>
      </c>
      <c r="V20" s="41">
        <v>0</v>
      </c>
      <c r="W20" s="38">
        <v>0</v>
      </c>
      <c r="X20" s="40">
        <v>0</v>
      </c>
      <c r="Y20" s="41">
        <v>1</v>
      </c>
    </row>
    <row r="21" spans="1:25" ht="17" customHeight="1" x14ac:dyDescent="0.2">
      <c r="A21" s="33" t="s">
        <v>33</v>
      </c>
      <c r="B21" s="33" t="s">
        <v>34</v>
      </c>
      <c r="C21" s="33">
        <v>1</v>
      </c>
      <c r="D21" s="33"/>
      <c r="E21" s="33">
        <v>0</v>
      </c>
      <c r="F21" s="35">
        <v>1</v>
      </c>
      <c r="G21" s="33">
        <v>0</v>
      </c>
      <c r="H21" s="33">
        <v>0</v>
      </c>
      <c r="I21" s="33">
        <v>0</v>
      </c>
      <c r="J21" s="35">
        <v>3</v>
      </c>
      <c r="K21" s="34">
        <v>0</v>
      </c>
      <c r="L21" s="35">
        <v>0</v>
      </c>
      <c r="M21" s="34">
        <v>1</v>
      </c>
      <c r="N21" s="35">
        <v>1</v>
      </c>
      <c r="P21" s="38">
        <v>0</v>
      </c>
      <c r="Q21" s="40">
        <v>0</v>
      </c>
      <c r="R21" s="41">
        <v>0</v>
      </c>
      <c r="S21" s="40">
        <v>0</v>
      </c>
      <c r="T21" s="36">
        <v>0</v>
      </c>
      <c r="U21" s="40">
        <v>0</v>
      </c>
      <c r="V21" s="41">
        <v>0</v>
      </c>
      <c r="W21" s="38">
        <v>0</v>
      </c>
      <c r="X21" s="40">
        <v>0</v>
      </c>
      <c r="Y21" s="41">
        <v>0</v>
      </c>
    </row>
    <row r="22" spans="1:25" ht="17" customHeight="1" x14ac:dyDescent="0.2">
      <c r="A22" s="33" t="s">
        <v>33</v>
      </c>
      <c r="B22" s="33" t="s">
        <v>35</v>
      </c>
      <c r="C22" s="33">
        <v>13</v>
      </c>
      <c r="D22" s="33"/>
      <c r="E22" s="33">
        <v>5</v>
      </c>
      <c r="F22" s="35">
        <v>7</v>
      </c>
      <c r="G22" s="33">
        <v>18</v>
      </c>
      <c r="H22" s="33">
        <v>10</v>
      </c>
      <c r="I22" s="33">
        <v>6</v>
      </c>
      <c r="J22" s="35">
        <v>34</v>
      </c>
      <c r="K22" s="34">
        <v>4</v>
      </c>
      <c r="L22" s="35">
        <v>4</v>
      </c>
      <c r="M22" s="34">
        <v>6</v>
      </c>
      <c r="N22" s="35">
        <v>8</v>
      </c>
      <c r="P22" s="38">
        <v>3</v>
      </c>
      <c r="Q22" s="40">
        <v>0</v>
      </c>
      <c r="R22" s="41">
        <v>0</v>
      </c>
      <c r="S22" s="40">
        <v>1</v>
      </c>
      <c r="T22" s="36">
        <v>0</v>
      </c>
      <c r="U22" s="40">
        <v>0</v>
      </c>
      <c r="V22" s="41">
        <v>0</v>
      </c>
      <c r="W22" s="38">
        <v>0</v>
      </c>
      <c r="X22" s="40">
        <v>2</v>
      </c>
      <c r="Y22" s="41">
        <v>0</v>
      </c>
    </row>
    <row r="23" spans="1:25" ht="17" customHeight="1" x14ac:dyDescent="0.2">
      <c r="A23" s="33" t="s">
        <v>33</v>
      </c>
      <c r="B23" s="33" t="s">
        <v>36</v>
      </c>
      <c r="C23" s="33">
        <v>6</v>
      </c>
      <c r="D23" s="33"/>
      <c r="E23" s="33">
        <v>0</v>
      </c>
      <c r="F23" s="35">
        <v>6</v>
      </c>
      <c r="G23" s="33">
        <v>0</v>
      </c>
      <c r="H23" s="33">
        <v>0</v>
      </c>
      <c r="I23" s="33">
        <v>0</v>
      </c>
      <c r="J23" s="35">
        <v>14</v>
      </c>
      <c r="K23" s="34">
        <v>1</v>
      </c>
      <c r="L23" s="35">
        <v>1</v>
      </c>
      <c r="M23" s="34">
        <v>4</v>
      </c>
      <c r="N23" s="35">
        <v>5</v>
      </c>
      <c r="P23" s="38">
        <v>0</v>
      </c>
      <c r="Q23" s="40">
        <v>0</v>
      </c>
      <c r="R23" s="41">
        <v>0</v>
      </c>
      <c r="S23" s="40">
        <v>0</v>
      </c>
      <c r="T23" s="36">
        <v>0</v>
      </c>
      <c r="U23" s="40">
        <v>0</v>
      </c>
      <c r="V23" s="41">
        <v>0</v>
      </c>
      <c r="W23" s="38">
        <v>0</v>
      </c>
      <c r="X23" s="40">
        <v>0</v>
      </c>
      <c r="Y23" s="41">
        <v>0</v>
      </c>
    </row>
    <row r="24" spans="1:25" ht="17" customHeight="1" x14ac:dyDescent="0.2">
      <c r="A24" s="33" t="s">
        <v>33</v>
      </c>
      <c r="B24" s="33" t="s">
        <v>37</v>
      </c>
      <c r="C24" s="33">
        <v>4</v>
      </c>
      <c r="D24" s="33"/>
      <c r="E24" s="33">
        <v>2</v>
      </c>
      <c r="F24" s="35">
        <v>1</v>
      </c>
      <c r="G24" s="33">
        <v>12</v>
      </c>
      <c r="H24" s="33">
        <v>16</v>
      </c>
      <c r="I24" s="33">
        <v>2</v>
      </c>
      <c r="J24" s="35">
        <v>4</v>
      </c>
      <c r="K24" s="34">
        <v>3</v>
      </c>
      <c r="L24" s="35">
        <v>6</v>
      </c>
      <c r="M24" s="34">
        <v>2</v>
      </c>
      <c r="N24" s="35">
        <v>5</v>
      </c>
      <c r="P24" s="38">
        <v>2</v>
      </c>
      <c r="Q24" s="40">
        <v>0</v>
      </c>
      <c r="R24" s="41">
        <v>0</v>
      </c>
      <c r="S24" s="40">
        <v>0</v>
      </c>
      <c r="T24" s="36">
        <v>1</v>
      </c>
      <c r="U24" s="40">
        <v>1</v>
      </c>
      <c r="V24" s="41">
        <v>0</v>
      </c>
      <c r="W24" s="38">
        <v>1</v>
      </c>
      <c r="X24" s="40">
        <v>0</v>
      </c>
      <c r="Y24" s="41">
        <v>0</v>
      </c>
    </row>
    <row r="25" spans="1:25" ht="17" customHeight="1" x14ac:dyDescent="0.2">
      <c r="A25" s="33" t="s">
        <v>33</v>
      </c>
      <c r="B25" s="33" t="s">
        <v>38</v>
      </c>
      <c r="C25" s="33">
        <v>3</v>
      </c>
      <c r="D25" s="33"/>
      <c r="E25" s="33">
        <v>0</v>
      </c>
      <c r="F25" s="35">
        <v>3</v>
      </c>
      <c r="G25" s="33">
        <v>0</v>
      </c>
      <c r="H25" s="33">
        <v>6</v>
      </c>
      <c r="I25" s="33">
        <v>2</v>
      </c>
      <c r="J25" s="35">
        <v>5</v>
      </c>
      <c r="K25" s="34">
        <v>2</v>
      </c>
      <c r="L25" s="35">
        <v>3</v>
      </c>
      <c r="M25" s="34">
        <v>0</v>
      </c>
      <c r="N25" s="35">
        <v>0</v>
      </c>
      <c r="P25" s="38">
        <v>2</v>
      </c>
      <c r="Q25" s="40">
        <v>0</v>
      </c>
      <c r="R25" s="41">
        <v>1</v>
      </c>
      <c r="S25" s="40">
        <v>2</v>
      </c>
      <c r="T25" s="36">
        <v>0</v>
      </c>
      <c r="U25" s="40">
        <v>0</v>
      </c>
      <c r="V25" s="41">
        <v>0</v>
      </c>
      <c r="W25" s="38">
        <v>0</v>
      </c>
      <c r="X25" s="40">
        <v>0</v>
      </c>
      <c r="Y25" s="41">
        <v>0</v>
      </c>
    </row>
    <row r="26" spans="1:25" ht="17" customHeight="1" x14ac:dyDescent="0.2">
      <c r="A26" s="33" t="s">
        <v>33</v>
      </c>
      <c r="B26" s="33" t="s">
        <v>39</v>
      </c>
      <c r="C26" s="33">
        <v>4</v>
      </c>
      <c r="D26" s="33"/>
      <c r="E26" s="33">
        <v>1</v>
      </c>
      <c r="F26" s="35">
        <v>1</v>
      </c>
      <c r="G26" s="33">
        <v>3</v>
      </c>
      <c r="H26" s="33">
        <v>2</v>
      </c>
      <c r="I26" s="33">
        <v>0</v>
      </c>
      <c r="J26" s="35">
        <v>0</v>
      </c>
      <c r="K26" s="34">
        <v>1</v>
      </c>
      <c r="L26" s="35">
        <v>3</v>
      </c>
      <c r="M26" s="34">
        <v>0</v>
      </c>
      <c r="N26" s="35">
        <v>0</v>
      </c>
      <c r="P26" s="38">
        <v>3</v>
      </c>
      <c r="Q26" s="40">
        <v>0</v>
      </c>
      <c r="R26" s="41">
        <v>0</v>
      </c>
      <c r="S26" s="40">
        <v>0</v>
      </c>
      <c r="T26" s="36">
        <v>1</v>
      </c>
      <c r="U26" s="40">
        <v>1</v>
      </c>
      <c r="V26" s="41">
        <v>4</v>
      </c>
      <c r="W26" s="38">
        <v>0</v>
      </c>
      <c r="X26" s="40">
        <v>0</v>
      </c>
      <c r="Y26" s="41">
        <v>0</v>
      </c>
    </row>
    <row r="27" spans="1:25" ht="17" customHeight="1" x14ac:dyDescent="0.2">
      <c r="A27" s="33" t="s">
        <v>33</v>
      </c>
      <c r="B27" s="33" t="s">
        <v>40</v>
      </c>
      <c r="C27" s="33">
        <v>1</v>
      </c>
      <c r="D27" s="33"/>
      <c r="E27" s="33">
        <v>0</v>
      </c>
      <c r="F27" s="35">
        <v>1</v>
      </c>
      <c r="G27" s="33">
        <v>0</v>
      </c>
      <c r="H27" s="33">
        <v>0</v>
      </c>
      <c r="I27" s="33">
        <v>0</v>
      </c>
      <c r="J27" s="35">
        <v>1</v>
      </c>
      <c r="K27" s="34">
        <v>1</v>
      </c>
      <c r="L27" s="35">
        <v>1</v>
      </c>
      <c r="M27" s="34">
        <v>0</v>
      </c>
      <c r="N27" s="35">
        <v>0</v>
      </c>
      <c r="P27" s="38">
        <v>0</v>
      </c>
      <c r="Q27" s="40">
        <v>0</v>
      </c>
      <c r="R27" s="41">
        <v>0</v>
      </c>
      <c r="S27" s="40">
        <v>0</v>
      </c>
      <c r="T27" s="36">
        <v>0</v>
      </c>
      <c r="U27" s="40">
        <v>0</v>
      </c>
      <c r="V27" s="41">
        <v>0</v>
      </c>
      <c r="W27" s="38">
        <v>0</v>
      </c>
      <c r="X27" s="40">
        <v>0</v>
      </c>
      <c r="Y27" s="41">
        <v>0</v>
      </c>
    </row>
    <row r="28" spans="1:25" ht="17" customHeight="1" x14ac:dyDescent="0.2">
      <c r="A28" s="33" t="s">
        <v>33</v>
      </c>
      <c r="B28" s="33" t="s">
        <v>41</v>
      </c>
      <c r="C28" s="33">
        <v>1</v>
      </c>
      <c r="D28" s="33"/>
      <c r="E28" s="33">
        <v>1</v>
      </c>
      <c r="F28" s="35">
        <v>0</v>
      </c>
      <c r="G28" s="33">
        <v>6</v>
      </c>
      <c r="H28" s="33">
        <v>0</v>
      </c>
      <c r="I28" s="33">
        <v>0</v>
      </c>
      <c r="J28" s="35">
        <v>0</v>
      </c>
      <c r="K28" s="34">
        <v>1</v>
      </c>
      <c r="L28" s="35">
        <v>1</v>
      </c>
      <c r="M28" s="34">
        <v>0</v>
      </c>
      <c r="N28" s="35">
        <v>0</v>
      </c>
      <c r="P28" s="38">
        <v>0</v>
      </c>
      <c r="Q28" s="40">
        <v>0</v>
      </c>
      <c r="R28" s="41">
        <v>0</v>
      </c>
      <c r="S28" s="40">
        <v>0</v>
      </c>
      <c r="T28" s="36">
        <v>0</v>
      </c>
      <c r="U28" s="40">
        <v>0</v>
      </c>
      <c r="V28" s="41">
        <v>0</v>
      </c>
      <c r="W28" s="38">
        <v>0</v>
      </c>
      <c r="X28" s="40">
        <v>0</v>
      </c>
      <c r="Y28" s="41">
        <v>0</v>
      </c>
    </row>
    <row r="29" spans="1:25" ht="17" customHeight="1" x14ac:dyDescent="0.2">
      <c r="A29" s="33" t="s">
        <v>33</v>
      </c>
      <c r="B29" s="33" t="s">
        <v>42</v>
      </c>
      <c r="C29" s="33">
        <v>8</v>
      </c>
      <c r="D29" s="33"/>
      <c r="E29" s="33">
        <v>5</v>
      </c>
      <c r="F29" s="35">
        <v>2</v>
      </c>
      <c r="G29" s="33">
        <v>15</v>
      </c>
      <c r="H29" s="33">
        <v>8</v>
      </c>
      <c r="I29" s="33">
        <v>6</v>
      </c>
      <c r="J29" s="35">
        <v>10</v>
      </c>
      <c r="K29" s="34">
        <v>4</v>
      </c>
      <c r="L29" s="35">
        <v>8</v>
      </c>
      <c r="M29" s="34">
        <v>0</v>
      </c>
      <c r="N29" s="35">
        <v>0</v>
      </c>
      <c r="P29" s="38">
        <v>3</v>
      </c>
      <c r="Q29" s="40">
        <v>0</v>
      </c>
      <c r="R29" s="41">
        <v>2</v>
      </c>
      <c r="S29" s="40">
        <v>0</v>
      </c>
      <c r="T29" s="36">
        <v>0</v>
      </c>
      <c r="U29" s="40">
        <v>0</v>
      </c>
      <c r="V29" s="41">
        <v>2</v>
      </c>
      <c r="W29" s="38">
        <v>2</v>
      </c>
      <c r="X29" s="40">
        <v>0</v>
      </c>
      <c r="Y29" s="41">
        <v>0</v>
      </c>
    </row>
    <row r="30" spans="1:25" ht="17" customHeight="1" x14ac:dyDescent="0.2">
      <c r="A30" s="33" t="s">
        <v>33</v>
      </c>
      <c r="B30" s="33" t="s">
        <v>43</v>
      </c>
      <c r="C30" s="33">
        <v>2</v>
      </c>
      <c r="D30" s="33"/>
      <c r="E30" s="33">
        <v>1</v>
      </c>
      <c r="F30" s="35">
        <v>1</v>
      </c>
      <c r="G30" s="33">
        <v>3</v>
      </c>
      <c r="H30" s="33">
        <v>0</v>
      </c>
      <c r="I30" s="33">
        <v>4</v>
      </c>
      <c r="J30" s="35">
        <v>5</v>
      </c>
      <c r="K30" s="34">
        <v>2</v>
      </c>
      <c r="L30" s="35">
        <v>3</v>
      </c>
      <c r="M30" s="34">
        <v>1</v>
      </c>
      <c r="N30" s="35">
        <v>1</v>
      </c>
      <c r="P30" s="38">
        <v>2</v>
      </c>
      <c r="Q30" s="40">
        <v>0</v>
      </c>
      <c r="R30" s="41">
        <v>1</v>
      </c>
      <c r="S30" s="40">
        <v>3</v>
      </c>
      <c r="T30" s="36">
        <v>0</v>
      </c>
      <c r="U30" s="40">
        <v>0</v>
      </c>
      <c r="V30" s="41">
        <v>0</v>
      </c>
      <c r="W30" s="38">
        <v>0</v>
      </c>
      <c r="X30" s="40">
        <v>0</v>
      </c>
      <c r="Y30" s="41">
        <v>0</v>
      </c>
    </row>
    <row r="31" spans="1:25" ht="17" customHeight="1" x14ac:dyDescent="0.2">
      <c r="A31" s="33" t="s">
        <v>33</v>
      </c>
      <c r="B31" s="33" t="s">
        <v>44</v>
      </c>
      <c r="C31" s="33">
        <v>6</v>
      </c>
      <c r="D31" s="33"/>
      <c r="E31" s="33">
        <v>2</v>
      </c>
      <c r="F31" s="35">
        <v>2</v>
      </c>
      <c r="G31" s="33">
        <v>18</v>
      </c>
      <c r="H31" s="33">
        <v>6</v>
      </c>
      <c r="I31" s="33">
        <v>10</v>
      </c>
      <c r="J31" s="35">
        <v>6</v>
      </c>
      <c r="K31" s="34">
        <v>4</v>
      </c>
      <c r="L31" s="35">
        <v>12</v>
      </c>
      <c r="M31" s="34">
        <v>0</v>
      </c>
      <c r="N31" s="35">
        <v>0</v>
      </c>
      <c r="P31" s="38">
        <v>3</v>
      </c>
      <c r="Q31" s="40">
        <v>0</v>
      </c>
      <c r="R31" s="41">
        <v>1</v>
      </c>
      <c r="S31" s="40">
        <v>1</v>
      </c>
      <c r="T31" s="36">
        <v>0</v>
      </c>
      <c r="U31" s="40">
        <v>0</v>
      </c>
      <c r="V31" s="41">
        <v>1</v>
      </c>
      <c r="W31" s="38">
        <v>0</v>
      </c>
      <c r="X31" s="40">
        <v>0</v>
      </c>
      <c r="Y31" s="41">
        <v>0</v>
      </c>
    </row>
    <row r="32" spans="1:25" ht="17" customHeight="1" x14ac:dyDescent="0.2">
      <c r="A32" s="33" t="s">
        <v>33</v>
      </c>
      <c r="B32" s="33" t="s">
        <v>45</v>
      </c>
      <c r="C32" s="33">
        <v>3</v>
      </c>
      <c r="D32" s="33"/>
      <c r="E32" s="33">
        <v>0</v>
      </c>
      <c r="F32" s="35">
        <v>2</v>
      </c>
      <c r="G32" s="33">
        <v>0</v>
      </c>
      <c r="H32" s="33">
        <v>0</v>
      </c>
      <c r="I32" s="33">
        <v>2</v>
      </c>
      <c r="J32" s="35">
        <v>4</v>
      </c>
      <c r="K32" s="34">
        <v>0</v>
      </c>
      <c r="L32" s="35">
        <v>0</v>
      </c>
      <c r="M32" s="34">
        <v>0</v>
      </c>
      <c r="N32" s="35">
        <v>0</v>
      </c>
      <c r="P32" s="38">
        <v>2</v>
      </c>
      <c r="Q32" s="40">
        <v>0</v>
      </c>
      <c r="R32" s="41">
        <v>1</v>
      </c>
      <c r="S32" s="40">
        <v>0</v>
      </c>
      <c r="T32" s="36">
        <v>0</v>
      </c>
      <c r="U32" s="40">
        <v>0</v>
      </c>
      <c r="V32" s="41">
        <v>0</v>
      </c>
      <c r="W32" s="38">
        <v>1</v>
      </c>
      <c r="X32" s="40">
        <v>0</v>
      </c>
      <c r="Y32" s="41">
        <v>0</v>
      </c>
    </row>
    <row r="33" spans="1:25" ht="17" customHeight="1" x14ac:dyDescent="0.2">
      <c r="A33" s="33" t="s">
        <v>33</v>
      </c>
      <c r="B33" s="33" t="s">
        <v>46</v>
      </c>
      <c r="C33" s="33">
        <v>1</v>
      </c>
      <c r="D33" s="33"/>
      <c r="E33" s="33">
        <v>0</v>
      </c>
      <c r="F33" s="35">
        <v>1</v>
      </c>
      <c r="G33" s="33">
        <v>0</v>
      </c>
      <c r="H33" s="33">
        <v>0</v>
      </c>
      <c r="I33" s="33">
        <v>2</v>
      </c>
      <c r="J33" s="35">
        <v>2</v>
      </c>
      <c r="K33" s="34">
        <v>1</v>
      </c>
      <c r="L33" s="35">
        <v>1</v>
      </c>
      <c r="M33" s="34">
        <v>0</v>
      </c>
      <c r="N33" s="35">
        <v>0</v>
      </c>
      <c r="P33" s="38">
        <v>1</v>
      </c>
      <c r="Q33" s="40">
        <v>0</v>
      </c>
      <c r="R33" s="41">
        <v>1</v>
      </c>
      <c r="S33" s="40">
        <v>1</v>
      </c>
      <c r="T33" s="36">
        <v>0</v>
      </c>
      <c r="U33" s="40">
        <v>0</v>
      </c>
      <c r="V33" s="41">
        <v>0</v>
      </c>
      <c r="W33" s="38">
        <v>0</v>
      </c>
      <c r="X33" s="40">
        <v>0</v>
      </c>
      <c r="Y33" s="41">
        <v>0</v>
      </c>
    </row>
    <row r="34" spans="1:25" ht="17" customHeight="1" x14ac:dyDescent="0.2">
      <c r="A34" s="33" t="s">
        <v>33</v>
      </c>
      <c r="B34" s="33" t="s">
        <v>47</v>
      </c>
      <c r="C34" s="33">
        <v>1</v>
      </c>
      <c r="D34" s="33"/>
      <c r="E34" s="33">
        <v>0</v>
      </c>
      <c r="F34" s="35">
        <v>1</v>
      </c>
      <c r="G34" s="33">
        <v>0</v>
      </c>
      <c r="H34" s="33">
        <v>10</v>
      </c>
      <c r="I34" s="33">
        <v>0</v>
      </c>
      <c r="J34" s="35">
        <v>3</v>
      </c>
      <c r="K34" s="34">
        <v>1</v>
      </c>
      <c r="L34" s="35">
        <v>1</v>
      </c>
      <c r="M34" s="34">
        <v>0</v>
      </c>
      <c r="N34" s="35">
        <v>0</v>
      </c>
      <c r="P34" s="38">
        <v>1</v>
      </c>
      <c r="Q34" s="40">
        <v>0</v>
      </c>
      <c r="R34" s="41">
        <v>0</v>
      </c>
      <c r="S34" s="40">
        <v>0</v>
      </c>
      <c r="T34" s="36">
        <v>0</v>
      </c>
      <c r="U34" s="40">
        <v>1</v>
      </c>
      <c r="V34" s="41">
        <v>0</v>
      </c>
      <c r="W34" s="38">
        <v>0</v>
      </c>
      <c r="X34" s="40">
        <v>0</v>
      </c>
      <c r="Y34" s="41">
        <v>0</v>
      </c>
    </row>
    <row r="35" spans="1:25" ht="17" customHeight="1" x14ac:dyDescent="0.2">
      <c r="A35" s="33" t="s">
        <v>33</v>
      </c>
      <c r="B35" s="33" t="s">
        <v>48</v>
      </c>
      <c r="C35" s="33">
        <v>1</v>
      </c>
      <c r="D35" s="33"/>
      <c r="E35" s="33">
        <v>1</v>
      </c>
      <c r="F35" s="35">
        <v>0</v>
      </c>
      <c r="G35" s="33">
        <v>3</v>
      </c>
      <c r="H35" s="33">
        <v>0</v>
      </c>
      <c r="I35" s="33">
        <v>0</v>
      </c>
      <c r="J35" s="35">
        <v>1</v>
      </c>
      <c r="K35" s="34">
        <v>1</v>
      </c>
      <c r="L35" s="35">
        <v>1</v>
      </c>
      <c r="M35" s="34">
        <v>0</v>
      </c>
      <c r="N35" s="35">
        <v>0</v>
      </c>
      <c r="P35" s="38">
        <v>0</v>
      </c>
      <c r="Q35" s="40">
        <v>0</v>
      </c>
      <c r="R35" s="41">
        <v>0</v>
      </c>
      <c r="S35" s="40">
        <v>0</v>
      </c>
      <c r="T35" s="36">
        <v>0</v>
      </c>
      <c r="U35" s="40">
        <v>0</v>
      </c>
      <c r="V35" s="41">
        <v>0</v>
      </c>
      <c r="W35" s="38">
        <v>0</v>
      </c>
      <c r="X35" s="40">
        <v>0</v>
      </c>
      <c r="Y35" s="41">
        <v>0</v>
      </c>
    </row>
    <row r="36" spans="1:25" ht="17" customHeight="1" x14ac:dyDescent="0.2">
      <c r="A36" s="33" t="s">
        <v>49</v>
      </c>
      <c r="B36" s="33" t="s">
        <v>49</v>
      </c>
      <c r="C36" s="33">
        <v>1</v>
      </c>
      <c r="D36" s="33"/>
      <c r="E36" s="33">
        <v>1</v>
      </c>
      <c r="F36" s="35">
        <v>0</v>
      </c>
      <c r="G36" s="33">
        <v>6</v>
      </c>
      <c r="H36" s="33">
        <v>0</v>
      </c>
      <c r="I36" s="33">
        <v>0</v>
      </c>
      <c r="J36" s="35">
        <v>2</v>
      </c>
      <c r="K36" s="34">
        <v>1</v>
      </c>
      <c r="L36" s="35">
        <v>1</v>
      </c>
      <c r="M36" s="34">
        <v>0</v>
      </c>
      <c r="N36" s="35">
        <v>0</v>
      </c>
      <c r="P36" s="38">
        <v>1</v>
      </c>
      <c r="Q36" s="40">
        <v>0</v>
      </c>
      <c r="R36" s="41">
        <v>1</v>
      </c>
      <c r="S36" s="40">
        <v>0</v>
      </c>
      <c r="T36" s="36">
        <v>0</v>
      </c>
      <c r="U36" s="40">
        <v>0</v>
      </c>
      <c r="V36" s="41">
        <v>0</v>
      </c>
      <c r="W36" s="38">
        <v>0</v>
      </c>
      <c r="X36" s="40">
        <v>0</v>
      </c>
      <c r="Y36" s="41">
        <v>0</v>
      </c>
    </row>
    <row r="37" spans="1:25" ht="17" customHeight="1" x14ac:dyDescent="0.2">
      <c r="A37" s="32" t="s">
        <v>50</v>
      </c>
      <c r="B37" s="32" t="s">
        <v>50</v>
      </c>
      <c r="C37" s="32">
        <v>1</v>
      </c>
      <c r="D37" s="33"/>
      <c r="E37" s="32">
        <v>0</v>
      </c>
      <c r="F37" s="31">
        <v>1</v>
      </c>
      <c r="G37" s="32">
        <v>0</v>
      </c>
      <c r="H37" s="32">
        <v>0</v>
      </c>
      <c r="I37" s="32">
        <v>0</v>
      </c>
      <c r="J37" s="31">
        <v>1</v>
      </c>
      <c r="K37" s="30">
        <v>1</v>
      </c>
      <c r="L37" s="31">
        <v>2</v>
      </c>
      <c r="M37" s="30">
        <v>0</v>
      </c>
      <c r="N37" s="31">
        <v>0</v>
      </c>
      <c r="P37" s="39">
        <v>0</v>
      </c>
      <c r="Q37" s="42">
        <v>0</v>
      </c>
      <c r="R37" s="43">
        <v>0</v>
      </c>
      <c r="S37" s="42">
        <v>0</v>
      </c>
      <c r="T37" s="44">
        <v>0</v>
      </c>
      <c r="U37" s="42">
        <v>0</v>
      </c>
      <c r="V37" s="43">
        <v>0</v>
      </c>
      <c r="W37" s="39">
        <v>0</v>
      </c>
      <c r="X37" s="42">
        <v>0</v>
      </c>
      <c r="Y37" s="43">
        <v>0</v>
      </c>
    </row>
    <row r="39" spans="1:25" x14ac:dyDescent="0.2">
      <c r="E39" s="36"/>
    </row>
  </sheetData>
  <mergeCells count="26">
    <mergeCell ref="N2:N3"/>
    <mergeCell ref="Q1:R1"/>
    <mergeCell ref="S1:T1"/>
    <mergeCell ref="Q2:Q3"/>
    <mergeCell ref="V2:V3"/>
    <mergeCell ref="A1:A3"/>
    <mergeCell ref="B1:B3"/>
    <mergeCell ref="C1:C3"/>
    <mergeCell ref="E1:J1"/>
    <mergeCell ref="E2:F2"/>
    <mergeCell ref="G2:J2"/>
    <mergeCell ref="S2:S3"/>
    <mergeCell ref="P2:P3"/>
    <mergeCell ref="U2:U3"/>
    <mergeCell ref="K1:L1"/>
    <mergeCell ref="M1:N1"/>
    <mergeCell ref="K2:K3"/>
    <mergeCell ref="L2:L3"/>
    <mergeCell ref="M2:M3"/>
    <mergeCell ref="X1:Y1"/>
    <mergeCell ref="U1:V1"/>
    <mergeCell ref="X2:X3"/>
    <mergeCell ref="R2:R3"/>
    <mergeCell ref="T2:T3"/>
    <mergeCell ref="Y2:Y3"/>
    <mergeCell ref="W2:W3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E45D3BB-84F2-614A-951F-FE155231248D}">
  <dimension ref="A1:N37"/>
  <sheetViews>
    <sheetView workbookViewId="0">
      <selection activeCell="B9" sqref="B9"/>
    </sheetView>
  </sheetViews>
  <sheetFormatPr baseColWidth="10" defaultRowHeight="16" x14ac:dyDescent="0.2"/>
  <cols>
    <col min="1" max="1" width="18.33203125" customWidth="1"/>
    <col min="2" max="2" width="21.6640625" customWidth="1"/>
    <col min="10" max="13" width="8.6640625" customWidth="1"/>
  </cols>
  <sheetData>
    <row r="1" spans="1:14" ht="18" customHeight="1" x14ac:dyDescent="0.2">
      <c r="A1" s="81" t="s">
        <v>0</v>
      </c>
      <c r="B1" s="81" t="s">
        <v>1</v>
      </c>
      <c r="C1" s="83" t="s">
        <v>51</v>
      </c>
      <c r="D1" s="85" t="s">
        <v>52</v>
      </c>
      <c r="E1" s="82"/>
      <c r="F1" s="82"/>
      <c r="G1" s="82"/>
      <c r="H1" s="82"/>
      <c r="I1" s="84"/>
      <c r="J1" s="85" t="s">
        <v>8</v>
      </c>
      <c r="K1" s="84"/>
      <c r="L1" s="85" t="s">
        <v>9</v>
      </c>
      <c r="M1" s="84"/>
    </row>
    <row r="2" spans="1:14" ht="18" customHeight="1" x14ac:dyDescent="0.2">
      <c r="A2" s="81"/>
      <c r="B2" s="81"/>
      <c r="C2" s="83"/>
      <c r="D2" s="78" t="s">
        <v>53</v>
      </c>
      <c r="E2" s="79"/>
      <c r="F2" s="78" t="s">
        <v>54</v>
      </c>
      <c r="G2" s="80"/>
      <c r="H2" s="80"/>
      <c r="I2" s="80"/>
      <c r="J2" s="86" t="s">
        <v>205</v>
      </c>
      <c r="K2" s="88" t="s">
        <v>206</v>
      </c>
      <c r="L2" s="86" t="s">
        <v>205</v>
      </c>
      <c r="M2" s="90" t="s">
        <v>206</v>
      </c>
      <c r="N2" s="10"/>
    </row>
    <row r="3" spans="1:14" ht="18" customHeight="1" x14ac:dyDescent="0.2">
      <c r="A3" s="82"/>
      <c r="B3" s="82"/>
      <c r="C3" s="84"/>
      <c r="D3" s="1" t="s">
        <v>2</v>
      </c>
      <c r="E3" s="2" t="s">
        <v>3</v>
      </c>
      <c r="F3" s="3" t="s">
        <v>6</v>
      </c>
      <c r="G3" s="3" t="s">
        <v>7</v>
      </c>
      <c r="H3" s="3" t="s">
        <v>4</v>
      </c>
      <c r="I3" s="9" t="s">
        <v>5</v>
      </c>
      <c r="J3" s="87"/>
      <c r="K3" s="89"/>
      <c r="L3" s="87"/>
      <c r="M3" s="91"/>
      <c r="N3" s="10"/>
    </row>
    <row r="4" spans="1:14" ht="17" customHeight="1" x14ac:dyDescent="0.2">
      <c r="A4" s="4" t="s">
        <v>10</v>
      </c>
      <c r="B4" s="4" t="s">
        <v>11</v>
      </c>
      <c r="C4" s="4">
        <v>1</v>
      </c>
      <c r="D4" s="5">
        <v>0</v>
      </c>
      <c r="E4" s="6">
        <v>0</v>
      </c>
      <c r="F4" s="4">
        <v>0</v>
      </c>
      <c r="G4" s="4">
        <v>0</v>
      </c>
      <c r="H4" s="4">
        <v>0</v>
      </c>
      <c r="I4" s="7">
        <v>0</v>
      </c>
      <c r="J4" s="5">
        <v>0</v>
      </c>
      <c r="K4" s="6">
        <v>0</v>
      </c>
      <c r="L4" s="5">
        <v>0</v>
      </c>
      <c r="M4" s="6">
        <v>0</v>
      </c>
    </row>
    <row r="5" spans="1:14" ht="17" customHeight="1" x14ac:dyDescent="0.2">
      <c r="A5" s="4" t="s">
        <v>10</v>
      </c>
      <c r="B5" s="4" t="s">
        <v>12</v>
      </c>
      <c r="C5" s="4">
        <v>1</v>
      </c>
      <c r="D5" s="5">
        <v>0</v>
      </c>
      <c r="E5" s="6">
        <v>0</v>
      </c>
      <c r="F5" s="4">
        <v>0</v>
      </c>
      <c r="G5" s="4">
        <v>0</v>
      </c>
      <c r="H5" s="4">
        <v>0</v>
      </c>
      <c r="I5" s="6">
        <v>0</v>
      </c>
      <c r="J5" s="5">
        <v>1</v>
      </c>
      <c r="K5" s="6">
        <v>1</v>
      </c>
      <c r="L5" s="5">
        <v>0</v>
      </c>
      <c r="M5" s="6">
        <v>0</v>
      </c>
    </row>
    <row r="6" spans="1:14" ht="17" customHeight="1" x14ac:dyDescent="0.2">
      <c r="A6" s="4" t="s">
        <v>10</v>
      </c>
      <c r="B6" s="4" t="s">
        <v>13</v>
      </c>
      <c r="C6" s="4">
        <v>4</v>
      </c>
      <c r="D6" s="5">
        <v>1</v>
      </c>
      <c r="E6" s="6">
        <v>1</v>
      </c>
      <c r="F6" s="4">
        <v>3</v>
      </c>
      <c r="G6" s="4">
        <v>0</v>
      </c>
      <c r="H6" s="4">
        <v>0</v>
      </c>
      <c r="I6" s="6">
        <v>1</v>
      </c>
      <c r="J6" s="5">
        <v>0</v>
      </c>
      <c r="K6" s="6">
        <v>0</v>
      </c>
      <c r="L6" s="5">
        <v>0</v>
      </c>
      <c r="M6" s="6">
        <v>0</v>
      </c>
    </row>
    <row r="7" spans="1:14" ht="17" customHeight="1" x14ac:dyDescent="0.2">
      <c r="A7" s="4" t="s">
        <v>10</v>
      </c>
      <c r="B7" s="4" t="s">
        <v>14</v>
      </c>
      <c r="C7" s="4">
        <v>5</v>
      </c>
      <c r="D7" s="5">
        <v>0</v>
      </c>
      <c r="E7" s="6">
        <v>2</v>
      </c>
      <c r="F7" s="4">
        <v>0</v>
      </c>
      <c r="G7" s="4">
        <v>0</v>
      </c>
      <c r="H7" s="4">
        <v>2</v>
      </c>
      <c r="I7" s="6">
        <v>3</v>
      </c>
      <c r="J7" s="5">
        <v>0</v>
      </c>
      <c r="K7" s="6">
        <v>0</v>
      </c>
      <c r="L7" s="5">
        <v>0</v>
      </c>
      <c r="M7" s="6">
        <v>0</v>
      </c>
    </row>
    <row r="8" spans="1:14" ht="17" customHeight="1" x14ac:dyDescent="0.2">
      <c r="A8" s="4" t="s">
        <v>15</v>
      </c>
      <c r="B8" s="4" t="s">
        <v>16</v>
      </c>
      <c r="C8" s="4">
        <v>2</v>
      </c>
      <c r="D8" s="5">
        <v>0</v>
      </c>
      <c r="E8" s="6">
        <v>2</v>
      </c>
      <c r="F8" s="4">
        <v>0</v>
      </c>
      <c r="G8" s="4">
        <v>16</v>
      </c>
      <c r="H8" s="4">
        <v>0</v>
      </c>
      <c r="I8" s="6">
        <v>7</v>
      </c>
      <c r="J8" s="5">
        <v>0</v>
      </c>
      <c r="K8" s="6">
        <v>0</v>
      </c>
      <c r="L8" s="5">
        <v>0</v>
      </c>
      <c r="M8" s="6">
        <v>0</v>
      </c>
    </row>
    <row r="9" spans="1:14" ht="17" customHeight="1" x14ac:dyDescent="0.2">
      <c r="A9" s="4" t="s">
        <v>15</v>
      </c>
      <c r="B9" s="4" t="s">
        <v>17</v>
      </c>
      <c r="C9" s="4">
        <v>1</v>
      </c>
      <c r="D9" s="5">
        <v>0</v>
      </c>
      <c r="E9" s="6">
        <v>0</v>
      </c>
      <c r="F9" s="4">
        <v>0</v>
      </c>
      <c r="G9" s="4">
        <v>0</v>
      </c>
      <c r="H9" s="4">
        <v>0</v>
      </c>
      <c r="I9" s="6">
        <v>0</v>
      </c>
      <c r="J9" s="5">
        <v>0</v>
      </c>
      <c r="K9" s="6">
        <v>0</v>
      </c>
      <c r="L9" s="5">
        <v>0</v>
      </c>
      <c r="M9" s="6">
        <v>0</v>
      </c>
    </row>
    <row r="10" spans="1:14" ht="17" customHeight="1" x14ac:dyDescent="0.2">
      <c r="A10" s="4" t="s">
        <v>15</v>
      </c>
      <c r="B10" s="4" t="s">
        <v>18</v>
      </c>
      <c r="C10" s="4">
        <v>11</v>
      </c>
      <c r="D10" s="5">
        <v>1</v>
      </c>
      <c r="E10" s="6">
        <v>9</v>
      </c>
      <c r="F10" s="4">
        <v>3</v>
      </c>
      <c r="G10" s="4">
        <v>54</v>
      </c>
      <c r="H10" s="4">
        <v>2</v>
      </c>
      <c r="I10" s="6">
        <v>34</v>
      </c>
      <c r="J10" s="5">
        <v>1</v>
      </c>
      <c r="K10" s="6">
        <v>2</v>
      </c>
      <c r="L10" s="5">
        <v>2</v>
      </c>
      <c r="M10" s="6">
        <v>2</v>
      </c>
    </row>
    <row r="11" spans="1:14" ht="17" customHeight="1" x14ac:dyDescent="0.2">
      <c r="A11" s="4" t="s">
        <v>15</v>
      </c>
      <c r="B11" s="4" t="s">
        <v>19</v>
      </c>
      <c r="C11" s="4">
        <v>4</v>
      </c>
      <c r="D11" s="5">
        <v>2</v>
      </c>
      <c r="E11" s="6">
        <v>2</v>
      </c>
      <c r="F11" s="4">
        <v>15</v>
      </c>
      <c r="G11" s="4">
        <v>2</v>
      </c>
      <c r="H11" s="4">
        <v>0</v>
      </c>
      <c r="I11" s="6">
        <v>2</v>
      </c>
      <c r="J11" s="5">
        <v>2</v>
      </c>
      <c r="K11" s="6">
        <v>7</v>
      </c>
      <c r="L11" s="5">
        <v>0</v>
      </c>
      <c r="M11" s="6">
        <v>0</v>
      </c>
    </row>
    <row r="12" spans="1:14" ht="17" customHeight="1" x14ac:dyDescent="0.2">
      <c r="A12" s="4" t="s">
        <v>20</v>
      </c>
      <c r="B12" s="4" t="s">
        <v>21</v>
      </c>
      <c r="C12" s="4">
        <v>1</v>
      </c>
      <c r="D12" s="5">
        <v>0</v>
      </c>
      <c r="E12" s="6">
        <v>1</v>
      </c>
      <c r="F12" s="4">
        <v>0</v>
      </c>
      <c r="G12" s="4">
        <v>0</v>
      </c>
      <c r="H12" s="4">
        <v>0</v>
      </c>
      <c r="I12" s="6">
        <v>1</v>
      </c>
      <c r="J12" s="5">
        <v>1</v>
      </c>
      <c r="K12" s="6">
        <v>1</v>
      </c>
      <c r="L12" s="5">
        <v>0</v>
      </c>
      <c r="M12" s="6">
        <v>0</v>
      </c>
    </row>
    <row r="13" spans="1:14" ht="17" customHeight="1" x14ac:dyDescent="0.2">
      <c r="A13" s="4" t="s">
        <v>22</v>
      </c>
      <c r="B13" s="4" t="s">
        <v>23</v>
      </c>
      <c r="C13" s="4">
        <v>2</v>
      </c>
      <c r="D13" s="5">
        <v>2</v>
      </c>
      <c r="E13" s="6">
        <v>0</v>
      </c>
      <c r="F13" s="4">
        <v>39</v>
      </c>
      <c r="G13" s="4">
        <v>4</v>
      </c>
      <c r="H13" s="4">
        <v>2</v>
      </c>
      <c r="I13" s="6">
        <v>3</v>
      </c>
      <c r="J13" s="5">
        <v>2</v>
      </c>
      <c r="K13" s="6">
        <v>4</v>
      </c>
      <c r="L13" s="5">
        <v>0</v>
      </c>
      <c r="M13" s="6">
        <v>0</v>
      </c>
    </row>
    <row r="14" spans="1:14" ht="17" customHeight="1" x14ac:dyDescent="0.2">
      <c r="A14" s="4" t="s">
        <v>22</v>
      </c>
      <c r="B14" s="4" t="s">
        <v>24</v>
      </c>
      <c r="C14" s="4">
        <v>45</v>
      </c>
      <c r="D14" s="5">
        <v>27</v>
      </c>
      <c r="E14" s="6">
        <v>18</v>
      </c>
      <c r="F14" s="4">
        <v>156</v>
      </c>
      <c r="G14" s="4">
        <v>2260</v>
      </c>
      <c r="H14" s="4">
        <v>16</v>
      </c>
      <c r="I14" s="6">
        <v>504</v>
      </c>
      <c r="J14" s="5">
        <v>42</v>
      </c>
      <c r="K14" s="6">
        <v>271</v>
      </c>
      <c r="L14" s="5">
        <v>24</v>
      </c>
      <c r="M14" s="6">
        <v>42</v>
      </c>
    </row>
    <row r="15" spans="1:14" ht="17" customHeight="1" x14ac:dyDescent="0.2">
      <c r="A15" s="4" t="s">
        <v>25</v>
      </c>
      <c r="B15" s="4" t="s">
        <v>26</v>
      </c>
      <c r="C15" s="4">
        <v>1</v>
      </c>
      <c r="D15" s="5">
        <v>0</v>
      </c>
      <c r="E15" s="6">
        <v>1</v>
      </c>
      <c r="F15" s="4">
        <v>0</v>
      </c>
      <c r="G15" s="4">
        <v>0</v>
      </c>
      <c r="H15" s="4">
        <v>2</v>
      </c>
      <c r="I15" s="6">
        <v>1</v>
      </c>
      <c r="J15" s="5">
        <v>0</v>
      </c>
      <c r="K15" s="6">
        <v>0</v>
      </c>
      <c r="L15" s="5">
        <v>0</v>
      </c>
      <c r="M15" s="6">
        <v>0</v>
      </c>
    </row>
    <row r="16" spans="1:14" ht="17" customHeight="1" x14ac:dyDescent="0.2">
      <c r="A16" s="4" t="s">
        <v>25</v>
      </c>
      <c r="B16" s="4" t="s">
        <v>27</v>
      </c>
      <c r="C16" s="4">
        <v>5</v>
      </c>
      <c r="D16" s="5">
        <v>1</v>
      </c>
      <c r="E16" s="6">
        <v>3</v>
      </c>
      <c r="F16" s="4">
        <v>3</v>
      </c>
      <c r="G16" s="4">
        <v>6</v>
      </c>
      <c r="H16" s="4">
        <v>4</v>
      </c>
      <c r="I16" s="6">
        <v>4</v>
      </c>
      <c r="J16" s="5">
        <v>1</v>
      </c>
      <c r="K16" s="6">
        <v>2</v>
      </c>
      <c r="L16" s="5">
        <v>0</v>
      </c>
      <c r="M16" s="6">
        <v>0</v>
      </c>
    </row>
    <row r="17" spans="1:13" ht="17" customHeight="1" x14ac:dyDescent="0.2">
      <c r="A17" s="4" t="s">
        <v>25</v>
      </c>
      <c r="B17" s="4" t="s">
        <v>28</v>
      </c>
      <c r="C17" s="4">
        <v>1</v>
      </c>
      <c r="D17" s="5">
        <v>0</v>
      </c>
      <c r="E17" s="6">
        <v>1</v>
      </c>
      <c r="F17" s="4">
        <v>0</v>
      </c>
      <c r="G17" s="4">
        <v>0</v>
      </c>
      <c r="H17" s="4">
        <v>0</v>
      </c>
      <c r="I17" s="6">
        <v>1</v>
      </c>
      <c r="J17" s="5">
        <v>1</v>
      </c>
      <c r="K17" s="6">
        <v>1</v>
      </c>
      <c r="L17" s="5">
        <v>0</v>
      </c>
      <c r="M17" s="6">
        <v>0</v>
      </c>
    </row>
    <row r="18" spans="1:13" ht="17" customHeight="1" x14ac:dyDescent="0.2">
      <c r="A18" s="4" t="s">
        <v>29</v>
      </c>
      <c r="B18" s="4" t="s">
        <v>30</v>
      </c>
      <c r="C18" s="4">
        <v>2</v>
      </c>
      <c r="D18" s="5">
        <v>0</v>
      </c>
      <c r="E18" s="6">
        <v>1</v>
      </c>
      <c r="F18" s="4">
        <v>0</v>
      </c>
      <c r="G18" s="4">
        <v>0</v>
      </c>
      <c r="H18" s="4">
        <v>2</v>
      </c>
      <c r="I18" s="6">
        <v>0</v>
      </c>
      <c r="J18" s="5">
        <v>0</v>
      </c>
      <c r="K18" s="6">
        <v>0</v>
      </c>
      <c r="L18" s="5">
        <v>0</v>
      </c>
      <c r="M18" s="6">
        <v>0</v>
      </c>
    </row>
    <row r="19" spans="1:13" ht="17" customHeight="1" x14ac:dyDescent="0.2">
      <c r="A19" s="4" t="s">
        <v>29</v>
      </c>
      <c r="B19" s="4" t="s">
        <v>31</v>
      </c>
      <c r="C19" s="4">
        <v>3</v>
      </c>
      <c r="D19" s="5">
        <v>1</v>
      </c>
      <c r="E19" s="6">
        <v>2</v>
      </c>
      <c r="F19" s="4">
        <v>6</v>
      </c>
      <c r="G19" s="4">
        <v>0</v>
      </c>
      <c r="H19" s="4">
        <v>0</v>
      </c>
      <c r="I19" s="6">
        <v>4</v>
      </c>
      <c r="J19" s="5">
        <v>3</v>
      </c>
      <c r="K19" s="6">
        <v>5</v>
      </c>
      <c r="L19" s="5">
        <v>0</v>
      </c>
      <c r="M19" s="6">
        <v>0</v>
      </c>
    </row>
    <row r="20" spans="1:13" ht="17" customHeight="1" x14ac:dyDescent="0.2">
      <c r="A20" s="4" t="s">
        <v>29</v>
      </c>
      <c r="B20" s="4" t="s">
        <v>32</v>
      </c>
      <c r="C20" s="4">
        <v>1</v>
      </c>
      <c r="D20" s="5">
        <v>1</v>
      </c>
      <c r="E20" s="6">
        <v>0</v>
      </c>
      <c r="F20" s="4">
        <v>3</v>
      </c>
      <c r="G20" s="4">
        <v>0</v>
      </c>
      <c r="H20" s="4">
        <v>0</v>
      </c>
      <c r="I20" s="6">
        <v>1</v>
      </c>
      <c r="J20" s="5">
        <v>0</v>
      </c>
      <c r="K20" s="6">
        <v>0</v>
      </c>
      <c r="L20" s="5">
        <v>0</v>
      </c>
      <c r="M20" s="6">
        <v>0</v>
      </c>
    </row>
    <row r="21" spans="1:13" ht="17" customHeight="1" x14ac:dyDescent="0.2">
      <c r="A21" s="4" t="s">
        <v>33</v>
      </c>
      <c r="B21" s="4" t="s">
        <v>34</v>
      </c>
      <c r="C21" s="4">
        <v>1</v>
      </c>
      <c r="D21" s="5">
        <v>0</v>
      </c>
      <c r="E21" s="6">
        <v>1</v>
      </c>
      <c r="F21" s="4">
        <v>0</v>
      </c>
      <c r="G21" s="4">
        <v>0</v>
      </c>
      <c r="H21" s="4">
        <v>0</v>
      </c>
      <c r="I21" s="6">
        <v>3</v>
      </c>
      <c r="J21" s="5">
        <v>0</v>
      </c>
      <c r="K21" s="6">
        <v>0</v>
      </c>
      <c r="L21" s="5">
        <v>1</v>
      </c>
      <c r="M21" s="6">
        <v>1</v>
      </c>
    </row>
    <row r="22" spans="1:13" ht="17" customHeight="1" x14ac:dyDescent="0.2">
      <c r="A22" s="4" t="s">
        <v>33</v>
      </c>
      <c r="B22" s="4" t="s">
        <v>35</v>
      </c>
      <c r="C22" s="4">
        <v>13</v>
      </c>
      <c r="D22" s="5">
        <v>5</v>
      </c>
      <c r="E22" s="6">
        <v>7</v>
      </c>
      <c r="F22" s="4">
        <v>18</v>
      </c>
      <c r="G22" s="4">
        <v>10</v>
      </c>
      <c r="H22" s="4">
        <v>6</v>
      </c>
      <c r="I22" s="6">
        <v>34</v>
      </c>
      <c r="J22" s="5">
        <v>4</v>
      </c>
      <c r="K22" s="6">
        <v>4</v>
      </c>
      <c r="L22" s="5">
        <v>6</v>
      </c>
      <c r="M22" s="6">
        <v>8</v>
      </c>
    </row>
    <row r="23" spans="1:13" ht="17" customHeight="1" x14ac:dyDescent="0.2">
      <c r="A23" s="4" t="s">
        <v>33</v>
      </c>
      <c r="B23" s="4" t="s">
        <v>36</v>
      </c>
      <c r="C23" s="4">
        <v>6</v>
      </c>
      <c r="D23" s="5">
        <v>0</v>
      </c>
      <c r="E23" s="6">
        <v>6</v>
      </c>
      <c r="F23" s="4">
        <v>0</v>
      </c>
      <c r="G23" s="4">
        <v>0</v>
      </c>
      <c r="H23" s="4">
        <v>0</v>
      </c>
      <c r="I23" s="6">
        <v>14</v>
      </c>
      <c r="J23" s="5">
        <v>1</v>
      </c>
      <c r="K23" s="6">
        <v>1</v>
      </c>
      <c r="L23" s="5">
        <v>4</v>
      </c>
      <c r="M23" s="6">
        <v>5</v>
      </c>
    </row>
    <row r="24" spans="1:13" ht="17" customHeight="1" x14ac:dyDescent="0.2">
      <c r="A24" s="4" t="s">
        <v>33</v>
      </c>
      <c r="B24" s="4" t="s">
        <v>37</v>
      </c>
      <c r="C24" s="4">
        <v>4</v>
      </c>
      <c r="D24" s="5">
        <v>2</v>
      </c>
      <c r="E24" s="6">
        <v>1</v>
      </c>
      <c r="F24" s="4">
        <v>12</v>
      </c>
      <c r="G24" s="4">
        <v>16</v>
      </c>
      <c r="H24" s="4">
        <v>2</v>
      </c>
      <c r="I24" s="6">
        <v>4</v>
      </c>
      <c r="J24" s="5">
        <v>3</v>
      </c>
      <c r="K24" s="6">
        <v>6</v>
      </c>
      <c r="L24" s="5">
        <v>2</v>
      </c>
      <c r="M24" s="6">
        <v>5</v>
      </c>
    </row>
    <row r="25" spans="1:13" ht="17" customHeight="1" x14ac:dyDescent="0.2">
      <c r="A25" s="4" t="s">
        <v>33</v>
      </c>
      <c r="B25" s="4" t="s">
        <v>38</v>
      </c>
      <c r="C25" s="4">
        <v>3</v>
      </c>
      <c r="D25" s="5">
        <v>0</v>
      </c>
      <c r="E25" s="6">
        <v>3</v>
      </c>
      <c r="F25" s="4">
        <v>0</v>
      </c>
      <c r="G25" s="4">
        <v>6</v>
      </c>
      <c r="H25" s="4">
        <v>2</v>
      </c>
      <c r="I25" s="6">
        <v>5</v>
      </c>
      <c r="J25" s="5">
        <v>2</v>
      </c>
      <c r="K25" s="6">
        <v>3</v>
      </c>
      <c r="L25" s="5">
        <v>0</v>
      </c>
      <c r="M25" s="6">
        <v>0</v>
      </c>
    </row>
    <row r="26" spans="1:13" ht="17" customHeight="1" x14ac:dyDescent="0.2">
      <c r="A26" s="4" t="s">
        <v>33</v>
      </c>
      <c r="B26" s="4" t="s">
        <v>39</v>
      </c>
      <c r="C26" s="4">
        <v>4</v>
      </c>
      <c r="D26" s="5">
        <v>1</v>
      </c>
      <c r="E26" s="6">
        <v>1</v>
      </c>
      <c r="F26" s="4">
        <v>3</v>
      </c>
      <c r="G26" s="4">
        <v>2</v>
      </c>
      <c r="H26" s="4">
        <v>0</v>
      </c>
      <c r="I26" s="6">
        <v>0</v>
      </c>
      <c r="J26" s="5">
        <v>1</v>
      </c>
      <c r="K26" s="6">
        <v>3</v>
      </c>
      <c r="L26" s="5">
        <v>0</v>
      </c>
      <c r="M26" s="6">
        <v>0</v>
      </c>
    </row>
    <row r="27" spans="1:13" ht="17" customHeight="1" x14ac:dyDescent="0.2">
      <c r="A27" s="4" t="s">
        <v>33</v>
      </c>
      <c r="B27" s="4" t="s">
        <v>40</v>
      </c>
      <c r="C27" s="4">
        <v>1</v>
      </c>
      <c r="D27" s="5">
        <v>0</v>
      </c>
      <c r="E27" s="6">
        <v>1</v>
      </c>
      <c r="F27" s="4">
        <v>0</v>
      </c>
      <c r="G27" s="4">
        <v>0</v>
      </c>
      <c r="H27" s="4">
        <v>0</v>
      </c>
      <c r="I27" s="6">
        <v>1</v>
      </c>
      <c r="J27" s="5">
        <v>1</v>
      </c>
      <c r="K27" s="6">
        <v>1</v>
      </c>
      <c r="L27" s="5">
        <v>0</v>
      </c>
      <c r="M27" s="6">
        <v>0</v>
      </c>
    </row>
    <row r="28" spans="1:13" ht="17" customHeight="1" x14ac:dyDescent="0.2">
      <c r="A28" s="4" t="s">
        <v>33</v>
      </c>
      <c r="B28" s="4" t="s">
        <v>41</v>
      </c>
      <c r="C28" s="4">
        <v>1</v>
      </c>
      <c r="D28" s="5">
        <v>1</v>
      </c>
      <c r="E28" s="6">
        <v>0</v>
      </c>
      <c r="F28" s="4">
        <v>6</v>
      </c>
      <c r="G28" s="4">
        <v>0</v>
      </c>
      <c r="H28" s="4">
        <v>0</v>
      </c>
      <c r="I28" s="6">
        <v>0</v>
      </c>
      <c r="J28" s="5">
        <v>1</v>
      </c>
      <c r="K28" s="6">
        <v>1</v>
      </c>
      <c r="L28" s="5">
        <v>0</v>
      </c>
      <c r="M28" s="6">
        <v>0</v>
      </c>
    </row>
    <row r="29" spans="1:13" ht="17" customHeight="1" x14ac:dyDescent="0.2">
      <c r="A29" s="4" t="s">
        <v>33</v>
      </c>
      <c r="B29" s="4" t="s">
        <v>42</v>
      </c>
      <c r="C29" s="4">
        <v>8</v>
      </c>
      <c r="D29" s="5">
        <v>5</v>
      </c>
      <c r="E29" s="6">
        <v>2</v>
      </c>
      <c r="F29" s="4">
        <v>15</v>
      </c>
      <c r="G29" s="4">
        <v>8</v>
      </c>
      <c r="H29" s="4">
        <v>6</v>
      </c>
      <c r="I29" s="6">
        <v>10</v>
      </c>
      <c r="J29" s="5">
        <v>4</v>
      </c>
      <c r="K29" s="6">
        <v>8</v>
      </c>
      <c r="L29" s="5">
        <v>0</v>
      </c>
      <c r="M29" s="6">
        <v>0</v>
      </c>
    </row>
    <row r="30" spans="1:13" ht="17" customHeight="1" x14ac:dyDescent="0.2">
      <c r="A30" s="4" t="s">
        <v>33</v>
      </c>
      <c r="B30" s="4" t="s">
        <v>43</v>
      </c>
      <c r="C30" s="4">
        <v>2</v>
      </c>
      <c r="D30" s="5">
        <v>1</v>
      </c>
      <c r="E30" s="6">
        <v>1</v>
      </c>
      <c r="F30" s="4">
        <v>3</v>
      </c>
      <c r="G30" s="4">
        <v>0</v>
      </c>
      <c r="H30" s="4">
        <v>4</v>
      </c>
      <c r="I30" s="6">
        <v>5</v>
      </c>
      <c r="J30" s="5">
        <v>2</v>
      </c>
      <c r="K30" s="6">
        <v>3</v>
      </c>
      <c r="L30" s="5">
        <v>1</v>
      </c>
      <c r="M30" s="6">
        <v>1</v>
      </c>
    </row>
    <row r="31" spans="1:13" ht="17" customHeight="1" x14ac:dyDescent="0.2">
      <c r="A31" s="4" t="s">
        <v>33</v>
      </c>
      <c r="B31" s="4" t="s">
        <v>44</v>
      </c>
      <c r="C31" s="4">
        <v>6</v>
      </c>
      <c r="D31" s="5">
        <v>2</v>
      </c>
      <c r="E31" s="6">
        <v>2</v>
      </c>
      <c r="F31" s="4">
        <v>18</v>
      </c>
      <c r="G31" s="4">
        <v>6</v>
      </c>
      <c r="H31" s="4">
        <v>10</v>
      </c>
      <c r="I31" s="6">
        <v>6</v>
      </c>
      <c r="J31" s="5">
        <v>4</v>
      </c>
      <c r="K31" s="6">
        <v>12</v>
      </c>
      <c r="L31" s="5">
        <v>0</v>
      </c>
      <c r="M31" s="6">
        <v>0</v>
      </c>
    </row>
    <row r="32" spans="1:13" ht="17" customHeight="1" x14ac:dyDescent="0.2">
      <c r="A32" s="4" t="s">
        <v>33</v>
      </c>
      <c r="B32" s="4" t="s">
        <v>45</v>
      </c>
      <c r="C32" s="4">
        <v>3</v>
      </c>
      <c r="D32" s="5">
        <v>0</v>
      </c>
      <c r="E32" s="6">
        <v>2</v>
      </c>
      <c r="F32" s="4">
        <v>0</v>
      </c>
      <c r="G32" s="4">
        <v>0</v>
      </c>
      <c r="H32" s="4">
        <v>2</v>
      </c>
      <c r="I32" s="6">
        <v>4</v>
      </c>
      <c r="J32" s="5">
        <v>0</v>
      </c>
      <c r="K32" s="6">
        <v>0</v>
      </c>
      <c r="L32" s="5">
        <v>0</v>
      </c>
      <c r="M32" s="6">
        <v>0</v>
      </c>
    </row>
    <row r="33" spans="1:13" ht="17" customHeight="1" x14ac:dyDescent="0.2">
      <c r="A33" s="4" t="s">
        <v>33</v>
      </c>
      <c r="B33" s="4" t="s">
        <v>46</v>
      </c>
      <c r="C33" s="4">
        <v>1</v>
      </c>
      <c r="D33" s="5">
        <v>0</v>
      </c>
      <c r="E33" s="6">
        <v>1</v>
      </c>
      <c r="F33" s="4">
        <v>0</v>
      </c>
      <c r="G33" s="4">
        <v>0</v>
      </c>
      <c r="H33" s="4">
        <v>2</v>
      </c>
      <c r="I33" s="6">
        <v>2</v>
      </c>
      <c r="J33" s="5">
        <v>1</v>
      </c>
      <c r="K33" s="6">
        <v>1</v>
      </c>
      <c r="L33" s="5">
        <v>0</v>
      </c>
      <c r="M33" s="6">
        <v>0</v>
      </c>
    </row>
    <row r="34" spans="1:13" ht="17" customHeight="1" x14ac:dyDescent="0.2">
      <c r="A34" s="4" t="s">
        <v>33</v>
      </c>
      <c r="B34" s="4" t="s">
        <v>47</v>
      </c>
      <c r="C34" s="4">
        <v>1</v>
      </c>
      <c r="D34" s="5">
        <v>0</v>
      </c>
      <c r="E34" s="6">
        <v>1</v>
      </c>
      <c r="F34" s="4">
        <v>0</v>
      </c>
      <c r="G34" s="4">
        <v>10</v>
      </c>
      <c r="H34" s="4">
        <v>0</v>
      </c>
      <c r="I34" s="6">
        <v>3</v>
      </c>
      <c r="J34" s="5">
        <v>1</v>
      </c>
      <c r="K34" s="6">
        <v>1</v>
      </c>
      <c r="L34" s="5">
        <v>0</v>
      </c>
      <c r="M34" s="6">
        <v>0</v>
      </c>
    </row>
    <row r="35" spans="1:13" ht="17" customHeight="1" x14ac:dyDescent="0.2">
      <c r="A35" s="4" t="s">
        <v>33</v>
      </c>
      <c r="B35" s="4" t="s">
        <v>48</v>
      </c>
      <c r="C35" s="4">
        <v>1</v>
      </c>
      <c r="D35" s="5">
        <v>1</v>
      </c>
      <c r="E35" s="6">
        <v>0</v>
      </c>
      <c r="F35" s="4">
        <v>3</v>
      </c>
      <c r="G35" s="4">
        <v>0</v>
      </c>
      <c r="H35" s="4">
        <v>0</v>
      </c>
      <c r="I35" s="6">
        <v>1</v>
      </c>
      <c r="J35" s="5">
        <v>1</v>
      </c>
      <c r="K35" s="6">
        <v>1</v>
      </c>
      <c r="L35" s="5">
        <v>0</v>
      </c>
      <c r="M35" s="6">
        <v>0</v>
      </c>
    </row>
    <row r="36" spans="1:13" ht="17" customHeight="1" x14ac:dyDescent="0.2">
      <c r="A36" s="4" t="s">
        <v>49</v>
      </c>
      <c r="B36" s="4" t="s">
        <v>49</v>
      </c>
      <c r="C36" s="4">
        <v>1</v>
      </c>
      <c r="D36" s="5">
        <v>1</v>
      </c>
      <c r="E36" s="6">
        <v>0</v>
      </c>
      <c r="F36" s="4">
        <v>6</v>
      </c>
      <c r="G36" s="4">
        <v>0</v>
      </c>
      <c r="H36" s="4">
        <v>0</v>
      </c>
      <c r="I36" s="6">
        <v>2</v>
      </c>
      <c r="J36" s="5">
        <v>1</v>
      </c>
      <c r="K36" s="6">
        <v>1</v>
      </c>
      <c r="L36" s="5">
        <v>0</v>
      </c>
      <c r="M36" s="6">
        <v>0</v>
      </c>
    </row>
    <row r="37" spans="1:13" ht="17" customHeight="1" x14ac:dyDescent="0.2">
      <c r="A37" s="3" t="s">
        <v>50</v>
      </c>
      <c r="B37" s="3" t="s">
        <v>50</v>
      </c>
      <c r="C37" s="3">
        <v>1</v>
      </c>
      <c r="D37" s="1">
        <v>0</v>
      </c>
      <c r="E37" s="2">
        <v>1</v>
      </c>
      <c r="F37" s="3">
        <v>0</v>
      </c>
      <c r="G37" s="3">
        <v>0</v>
      </c>
      <c r="H37" s="3">
        <v>0</v>
      </c>
      <c r="I37" s="2">
        <v>1</v>
      </c>
      <c r="J37" s="1">
        <v>1</v>
      </c>
      <c r="K37" s="2">
        <v>2</v>
      </c>
      <c r="L37" s="1">
        <v>0</v>
      </c>
      <c r="M37" s="2">
        <v>0</v>
      </c>
    </row>
  </sheetData>
  <mergeCells count="12">
    <mergeCell ref="L1:M1"/>
    <mergeCell ref="J2:J3"/>
    <mergeCell ref="K2:K3"/>
    <mergeCell ref="L2:L3"/>
    <mergeCell ref="M2:M3"/>
    <mergeCell ref="J1:K1"/>
    <mergeCell ref="D2:E2"/>
    <mergeCell ref="F2:I2"/>
    <mergeCell ref="A1:A3"/>
    <mergeCell ref="B1:B3"/>
    <mergeCell ref="C1:C3"/>
    <mergeCell ref="D1:I1"/>
  </mergeCells>
  <conditionalFormatting sqref="D4:E37">
    <cfRule type="cellIs" dxfId="1" priority="2" operator="equal">
      <formula>0</formula>
    </cfRule>
  </conditionalFormatting>
  <conditionalFormatting sqref="J4:M37">
    <cfRule type="cellIs" dxfId="0" priority="1" operator="equal">
      <formula>0</formula>
    </cfRule>
  </conditionalFormatting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0EDAF36-4CFC-454E-A296-92F25F428ACB}">
  <dimension ref="A1:J159"/>
  <sheetViews>
    <sheetView workbookViewId="0">
      <pane ySplit="1460" topLeftCell="A107" activePane="bottomLeft"/>
      <selection activeCell="J1" sqref="J1:J1048576"/>
      <selection pane="bottomLeft" activeCell="L129" sqref="L129"/>
    </sheetView>
  </sheetViews>
  <sheetFormatPr baseColWidth="10" defaultRowHeight="16" x14ac:dyDescent="0.2"/>
  <cols>
    <col min="1" max="1" width="43.83203125" customWidth="1"/>
    <col min="2" max="5" width="5.33203125" style="8" customWidth="1"/>
    <col min="7" max="7" width="21.1640625" customWidth="1"/>
    <col min="8" max="8" width="35.83203125" customWidth="1"/>
    <col min="9" max="9" width="17.83203125" customWidth="1"/>
    <col min="10" max="10" width="32.83203125" customWidth="1"/>
  </cols>
  <sheetData>
    <row r="1" spans="1:10" x14ac:dyDescent="0.2">
      <c r="A1" t="s">
        <v>462</v>
      </c>
      <c r="B1" s="8" t="s">
        <v>461</v>
      </c>
      <c r="C1" s="8" t="s">
        <v>460</v>
      </c>
      <c r="D1" s="8" t="s">
        <v>459</v>
      </c>
      <c r="E1" s="8" t="s">
        <v>458</v>
      </c>
      <c r="H1" t="s">
        <v>457</v>
      </c>
      <c r="I1" s="22" t="s">
        <v>470</v>
      </c>
    </row>
    <row r="2" spans="1:10" x14ac:dyDescent="0.2">
      <c r="A2" t="s">
        <v>456</v>
      </c>
      <c r="B2" s="8">
        <v>1</v>
      </c>
      <c r="C2" s="8">
        <v>1</v>
      </c>
      <c r="D2" s="8">
        <v>1</v>
      </c>
      <c r="E2" s="8">
        <v>1</v>
      </c>
      <c r="F2" t="s">
        <v>453</v>
      </c>
      <c r="G2" t="s">
        <v>18</v>
      </c>
      <c r="H2" t="s">
        <v>385</v>
      </c>
      <c r="I2" s="8" t="s">
        <v>209</v>
      </c>
      <c r="J2" t="s">
        <v>58</v>
      </c>
    </row>
    <row r="3" spans="1:10" x14ac:dyDescent="0.2">
      <c r="A3" t="s">
        <v>455</v>
      </c>
      <c r="B3" s="8">
        <v>1</v>
      </c>
      <c r="C3" s="8">
        <v>1</v>
      </c>
      <c r="D3" s="8">
        <v>1</v>
      </c>
      <c r="E3" s="8">
        <v>1</v>
      </c>
      <c r="F3" t="s">
        <v>453</v>
      </c>
      <c r="G3" t="s">
        <v>18</v>
      </c>
      <c r="H3" t="s">
        <v>385</v>
      </c>
      <c r="I3" s="8" t="s">
        <v>209</v>
      </c>
      <c r="J3" t="s">
        <v>58</v>
      </c>
    </row>
    <row r="4" spans="1:10" x14ac:dyDescent="0.2">
      <c r="A4" t="s">
        <v>454</v>
      </c>
      <c r="B4" s="8">
        <v>1</v>
      </c>
      <c r="C4" s="8">
        <v>1</v>
      </c>
      <c r="D4" s="8">
        <v>1</v>
      </c>
      <c r="E4" s="8">
        <v>1</v>
      </c>
      <c r="F4" t="s">
        <v>453</v>
      </c>
      <c r="G4" t="s">
        <v>18</v>
      </c>
      <c r="H4" t="s">
        <v>385</v>
      </c>
      <c r="I4" s="8" t="s">
        <v>209</v>
      </c>
      <c r="J4" t="s">
        <v>58</v>
      </c>
    </row>
    <row r="5" spans="1:10" x14ac:dyDescent="0.2">
      <c r="A5" t="s">
        <v>452</v>
      </c>
      <c r="B5" s="8">
        <v>0.93110000000000004</v>
      </c>
      <c r="C5" s="8">
        <v>0.93110000000000004</v>
      </c>
      <c r="D5" s="8">
        <v>0.93110000000000004</v>
      </c>
      <c r="E5" s="8">
        <v>0.93110000000000004</v>
      </c>
      <c r="F5" t="s">
        <v>383</v>
      </c>
      <c r="G5" t="s">
        <v>24</v>
      </c>
      <c r="H5" t="s">
        <v>385</v>
      </c>
      <c r="I5" s="8" t="s">
        <v>209</v>
      </c>
      <c r="J5" t="s">
        <v>60</v>
      </c>
    </row>
    <row r="6" spans="1:10" x14ac:dyDescent="0.2">
      <c r="A6" t="s">
        <v>451</v>
      </c>
      <c r="B6" s="8">
        <v>1</v>
      </c>
      <c r="C6" s="8">
        <v>1</v>
      </c>
      <c r="D6" s="8">
        <v>1</v>
      </c>
      <c r="E6" s="8">
        <v>1</v>
      </c>
      <c r="F6" t="s">
        <v>381</v>
      </c>
      <c r="G6" t="s">
        <v>37</v>
      </c>
      <c r="H6" t="s">
        <v>385</v>
      </c>
      <c r="I6" s="8" t="s">
        <v>209</v>
      </c>
      <c r="J6" t="s">
        <v>73</v>
      </c>
    </row>
    <row r="7" spans="1:10" x14ac:dyDescent="0.2">
      <c r="A7" t="s">
        <v>450</v>
      </c>
      <c r="B7" s="8">
        <v>1</v>
      </c>
      <c r="C7" s="8">
        <v>1</v>
      </c>
      <c r="D7" s="8">
        <v>1</v>
      </c>
      <c r="E7" s="8">
        <v>1</v>
      </c>
      <c r="F7" t="s">
        <v>274</v>
      </c>
      <c r="G7" t="s">
        <v>39</v>
      </c>
      <c r="H7" t="s">
        <v>385</v>
      </c>
      <c r="I7" s="8" t="s">
        <v>209</v>
      </c>
      <c r="J7" t="s">
        <v>83</v>
      </c>
    </row>
    <row r="8" spans="1:10" x14ac:dyDescent="0.2">
      <c r="A8" t="s">
        <v>449</v>
      </c>
      <c r="B8" s="8">
        <v>1</v>
      </c>
      <c r="C8" s="8">
        <v>1</v>
      </c>
      <c r="D8" s="8">
        <v>1</v>
      </c>
      <c r="E8" s="8">
        <v>1</v>
      </c>
      <c r="F8" t="s">
        <v>446</v>
      </c>
      <c r="G8" t="s">
        <v>18</v>
      </c>
      <c r="H8" t="s">
        <v>385</v>
      </c>
      <c r="I8" s="8" t="s">
        <v>209</v>
      </c>
      <c r="J8" t="s">
        <v>85</v>
      </c>
    </row>
    <row r="9" spans="1:10" x14ac:dyDescent="0.2">
      <c r="A9" t="s">
        <v>448</v>
      </c>
      <c r="B9" s="8">
        <v>1</v>
      </c>
      <c r="C9" s="8">
        <v>1</v>
      </c>
      <c r="D9" s="8">
        <v>1</v>
      </c>
      <c r="E9" s="8">
        <v>1</v>
      </c>
      <c r="F9" t="s">
        <v>446</v>
      </c>
      <c r="G9" t="s">
        <v>18</v>
      </c>
      <c r="H9" t="s">
        <v>385</v>
      </c>
      <c r="I9" s="8" t="s">
        <v>209</v>
      </c>
      <c r="J9" t="s">
        <v>85</v>
      </c>
    </row>
    <row r="10" spans="1:10" x14ac:dyDescent="0.2">
      <c r="A10" t="s">
        <v>447</v>
      </c>
      <c r="B10" s="8">
        <v>0.99980000000000002</v>
      </c>
      <c r="C10" s="8">
        <v>1</v>
      </c>
      <c r="D10" s="8">
        <v>0.99980000000000002</v>
      </c>
      <c r="E10" s="8">
        <v>1</v>
      </c>
      <c r="F10" t="s">
        <v>446</v>
      </c>
      <c r="G10" t="s">
        <v>18</v>
      </c>
      <c r="H10" t="s">
        <v>385</v>
      </c>
      <c r="I10" s="8" t="s">
        <v>209</v>
      </c>
      <c r="J10" t="s">
        <v>85</v>
      </c>
    </row>
    <row r="11" spans="1:10" x14ac:dyDescent="0.2">
      <c r="A11" s="15" t="s">
        <v>445</v>
      </c>
      <c r="B11" s="8">
        <v>0.99129999999999996</v>
      </c>
      <c r="C11" s="8">
        <v>1</v>
      </c>
      <c r="D11" s="8">
        <v>0.99129999999999996</v>
      </c>
      <c r="E11" s="8">
        <v>1</v>
      </c>
      <c r="F11" t="s">
        <v>323</v>
      </c>
      <c r="G11" t="s">
        <v>30</v>
      </c>
      <c r="H11" t="s">
        <v>444</v>
      </c>
      <c r="I11" s="8" t="s">
        <v>209</v>
      </c>
      <c r="J11" t="s">
        <v>204</v>
      </c>
    </row>
    <row r="12" spans="1:10" x14ac:dyDescent="0.2">
      <c r="A12" s="15" t="s">
        <v>443</v>
      </c>
      <c r="B12" s="8">
        <v>0.78979999999999995</v>
      </c>
      <c r="C12" s="8">
        <v>0.78979999999999995</v>
      </c>
      <c r="D12" s="8">
        <v>0.78979999999999995</v>
      </c>
      <c r="E12" s="8">
        <v>0.78979999999999995</v>
      </c>
      <c r="F12" t="s">
        <v>323</v>
      </c>
      <c r="G12" t="s">
        <v>30</v>
      </c>
      <c r="H12" t="s">
        <v>385</v>
      </c>
      <c r="I12" s="8" t="s">
        <v>209</v>
      </c>
      <c r="J12" t="s">
        <v>204</v>
      </c>
    </row>
    <row r="13" spans="1:10" x14ac:dyDescent="0.2">
      <c r="A13" t="s">
        <v>442</v>
      </c>
      <c r="B13" s="8">
        <v>1</v>
      </c>
      <c r="C13" s="8">
        <v>1</v>
      </c>
      <c r="D13" s="8">
        <v>1</v>
      </c>
      <c r="E13" s="8">
        <v>1</v>
      </c>
      <c r="F13" t="s">
        <v>439</v>
      </c>
      <c r="G13" t="s">
        <v>18</v>
      </c>
      <c r="H13" t="s">
        <v>385</v>
      </c>
      <c r="I13" s="8" t="s">
        <v>209</v>
      </c>
      <c r="J13" t="s">
        <v>118</v>
      </c>
    </row>
    <row r="14" spans="1:10" x14ac:dyDescent="0.2">
      <c r="A14" t="s">
        <v>441</v>
      </c>
      <c r="B14" s="8">
        <v>1</v>
      </c>
      <c r="C14" s="8">
        <v>1</v>
      </c>
      <c r="D14" s="8">
        <v>1</v>
      </c>
      <c r="E14" s="8">
        <v>1</v>
      </c>
      <c r="F14" t="s">
        <v>439</v>
      </c>
      <c r="G14" t="s">
        <v>18</v>
      </c>
      <c r="H14" t="s">
        <v>385</v>
      </c>
      <c r="I14" s="8" t="s">
        <v>209</v>
      </c>
      <c r="J14" t="s">
        <v>118</v>
      </c>
    </row>
    <row r="15" spans="1:10" x14ac:dyDescent="0.2">
      <c r="A15" t="s">
        <v>440</v>
      </c>
      <c r="B15" s="8">
        <v>1</v>
      </c>
      <c r="C15" s="8">
        <v>1</v>
      </c>
      <c r="D15" s="8">
        <v>1</v>
      </c>
      <c r="E15" s="8">
        <v>1</v>
      </c>
      <c r="F15" t="s">
        <v>439</v>
      </c>
      <c r="G15" t="s">
        <v>18</v>
      </c>
      <c r="H15" t="s">
        <v>385</v>
      </c>
      <c r="I15" s="8" t="s">
        <v>209</v>
      </c>
      <c r="J15" t="s">
        <v>118</v>
      </c>
    </row>
    <row r="16" spans="1:10" x14ac:dyDescent="0.2">
      <c r="A16" t="s">
        <v>438</v>
      </c>
      <c r="B16" s="8">
        <v>1</v>
      </c>
      <c r="C16" s="8">
        <v>1</v>
      </c>
      <c r="D16" s="8">
        <v>1</v>
      </c>
      <c r="E16" s="8">
        <v>1</v>
      </c>
      <c r="F16" t="s">
        <v>436</v>
      </c>
      <c r="G16" t="s">
        <v>18</v>
      </c>
      <c r="H16" t="s">
        <v>385</v>
      </c>
      <c r="I16" s="8" t="s">
        <v>209</v>
      </c>
      <c r="J16" t="s">
        <v>119</v>
      </c>
    </row>
    <row r="17" spans="1:10" x14ac:dyDescent="0.2">
      <c r="A17" t="s">
        <v>437</v>
      </c>
      <c r="B17" s="8">
        <v>0.82909999999999995</v>
      </c>
      <c r="C17" s="8">
        <v>0.82909999999999995</v>
      </c>
      <c r="D17" s="8">
        <v>0.82909999999999995</v>
      </c>
      <c r="E17" s="8">
        <v>0.82909999999999995</v>
      </c>
      <c r="F17" t="s">
        <v>436</v>
      </c>
      <c r="G17" t="s">
        <v>18</v>
      </c>
      <c r="H17" t="s">
        <v>328</v>
      </c>
      <c r="I17" s="8" t="s">
        <v>209</v>
      </c>
      <c r="J17" t="s">
        <v>119</v>
      </c>
    </row>
    <row r="18" spans="1:10" x14ac:dyDescent="0.2">
      <c r="A18" t="s">
        <v>435</v>
      </c>
      <c r="B18" s="8">
        <v>0.99850000000000005</v>
      </c>
      <c r="C18" s="8">
        <v>1</v>
      </c>
      <c r="D18" s="8">
        <v>0.99850000000000005</v>
      </c>
      <c r="E18" s="8">
        <v>1</v>
      </c>
      <c r="F18" t="s">
        <v>434</v>
      </c>
      <c r="G18" t="s">
        <v>24</v>
      </c>
      <c r="H18" t="s">
        <v>385</v>
      </c>
      <c r="I18" s="8" t="s">
        <v>209</v>
      </c>
      <c r="J18" t="s">
        <v>128</v>
      </c>
    </row>
    <row r="19" spans="1:10" x14ac:dyDescent="0.2">
      <c r="A19" t="s">
        <v>433</v>
      </c>
      <c r="B19" s="8">
        <v>0.99150000000000005</v>
      </c>
      <c r="C19" s="8">
        <v>1</v>
      </c>
      <c r="D19" s="8">
        <v>0.99150000000000005</v>
      </c>
      <c r="E19" s="8">
        <v>1</v>
      </c>
      <c r="F19" t="s">
        <v>432</v>
      </c>
      <c r="G19" t="s">
        <v>47</v>
      </c>
      <c r="H19" t="s">
        <v>385</v>
      </c>
      <c r="I19" s="8" t="s">
        <v>209</v>
      </c>
      <c r="J19" t="s">
        <v>131</v>
      </c>
    </row>
    <row r="20" spans="1:10" x14ac:dyDescent="0.2">
      <c r="A20" t="s">
        <v>431</v>
      </c>
      <c r="B20" s="8">
        <v>1</v>
      </c>
      <c r="C20" s="8">
        <v>1</v>
      </c>
      <c r="D20" s="8">
        <v>1</v>
      </c>
      <c r="E20" s="8">
        <v>1</v>
      </c>
      <c r="F20" t="s">
        <v>430</v>
      </c>
      <c r="G20" t="s">
        <v>18</v>
      </c>
      <c r="H20" t="s">
        <v>385</v>
      </c>
      <c r="I20" s="8" t="s">
        <v>209</v>
      </c>
      <c r="J20" t="s">
        <v>133</v>
      </c>
    </row>
    <row r="21" spans="1:10" x14ac:dyDescent="0.2">
      <c r="A21" t="s">
        <v>429</v>
      </c>
      <c r="B21" s="8">
        <v>0.99970000000000003</v>
      </c>
      <c r="C21" s="8">
        <v>1</v>
      </c>
      <c r="D21" s="8">
        <v>0.99970000000000003</v>
      </c>
      <c r="E21" s="8">
        <v>1</v>
      </c>
      <c r="F21" t="s">
        <v>428</v>
      </c>
      <c r="G21" t="s">
        <v>24</v>
      </c>
      <c r="H21" t="s">
        <v>385</v>
      </c>
      <c r="I21" s="8" t="s">
        <v>209</v>
      </c>
      <c r="J21" t="s">
        <v>138</v>
      </c>
    </row>
    <row r="22" spans="1:10" x14ac:dyDescent="0.2">
      <c r="A22" t="s">
        <v>427</v>
      </c>
      <c r="B22" s="8">
        <v>0.90549999999999997</v>
      </c>
      <c r="C22" s="8">
        <v>0.90569999999999995</v>
      </c>
      <c r="D22" s="8">
        <v>0.90549999999999997</v>
      </c>
      <c r="E22" s="8">
        <v>0.90569999999999995</v>
      </c>
      <c r="F22" t="s">
        <v>376</v>
      </c>
      <c r="G22" t="s">
        <v>24</v>
      </c>
      <c r="H22" t="s">
        <v>328</v>
      </c>
      <c r="I22" s="8" t="s">
        <v>209</v>
      </c>
      <c r="J22" t="s">
        <v>140</v>
      </c>
    </row>
    <row r="23" spans="1:10" x14ac:dyDescent="0.2">
      <c r="A23" t="s">
        <v>426</v>
      </c>
      <c r="B23" s="8">
        <v>1</v>
      </c>
      <c r="C23" s="8">
        <v>1</v>
      </c>
      <c r="D23" s="8">
        <v>1</v>
      </c>
      <c r="E23" s="8">
        <v>1</v>
      </c>
      <c r="F23" t="s">
        <v>249</v>
      </c>
      <c r="G23" t="s">
        <v>24</v>
      </c>
      <c r="H23" t="s">
        <v>385</v>
      </c>
      <c r="I23" s="8" t="s">
        <v>209</v>
      </c>
      <c r="J23" t="s">
        <v>155</v>
      </c>
    </row>
    <row r="24" spans="1:10" x14ac:dyDescent="0.2">
      <c r="A24" t="s">
        <v>425</v>
      </c>
      <c r="B24" s="8">
        <v>1</v>
      </c>
      <c r="C24" s="8">
        <v>1</v>
      </c>
      <c r="D24" s="8">
        <v>1</v>
      </c>
      <c r="E24" s="8">
        <v>1</v>
      </c>
      <c r="F24" t="s">
        <v>424</v>
      </c>
      <c r="G24" t="s">
        <v>24</v>
      </c>
      <c r="H24" t="s">
        <v>385</v>
      </c>
      <c r="I24" s="8" t="s">
        <v>209</v>
      </c>
      <c r="J24" t="s">
        <v>156</v>
      </c>
    </row>
    <row r="25" spans="1:10" x14ac:dyDescent="0.2">
      <c r="A25" t="s">
        <v>423</v>
      </c>
      <c r="B25" s="8">
        <v>1</v>
      </c>
      <c r="C25" s="8">
        <v>1</v>
      </c>
      <c r="D25" s="8">
        <v>1</v>
      </c>
      <c r="E25" s="8">
        <v>1</v>
      </c>
      <c r="F25" t="s">
        <v>247</v>
      </c>
      <c r="G25" t="s">
        <v>24</v>
      </c>
      <c r="H25" t="s">
        <v>328</v>
      </c>
      <c r="I25" s="8" t="s">
        <v>209</v>
      </c>
      <c r="J25" t="s">
        <v>157</v>
      </c>
    </row>
    <row r="26" spans="1:10" x14ac:dyDescent="0.2">
      <c r="A26" t="s">
        <v>422</v>
      </c>
      <c r="B26" s="8">
        <v>1</v>
      </c>
      <c r="C26" s="8">
        <v>1</v>
      </c>
      <c r="D26" s="8">
        <v>1</v>
      </c>
      <c r="E26" s="8">
        <v>1</v>
      </c>
      <c r="F26" t="s">
        <v>346</v>
      </c>
      <c r="G26" t="s">
        <v>24</v>
      </c>
      <c r="H26" t="s">
        <v>385</v>
      </c>
      <c r="I26" s="8" t="s">
        <v>209</v>
      </c>
      <c r="J26" t="s">
        <v>159</v>
      </c>
    </row>
    <row r="27" spans="1:10" x14ac:dyDescent="0.2">
      <c r="A27" t="s">
        <v>421</v>
      </c>
      <c r="B27" s="8">
        <v>1</v>
      </c>
      <c r="C27" s="8">
        <v>1</v>
      </c>
      <c r="D27" s="8">
        <v>1</v>
      </c>
      <c r="E27" s="8">
        <v>1</v>
      </c>
      <c r="F27" t="s">
        <v>245</v>
      </c>
      <c r="G27" t="s">
        <v>24</v>
      </c>
      <c r="H27" t="s">
        <v>385</v>
      </c>
      <c r="I27" s="8" t="s">
        <v>209</v>
      </c>
      <c r="J27" t="s">
        <v>160</v>
      </c>
    </row>
    <row r="28" spans="1:10" x14ac:dyDescent="0.2">
      <c r="A28" t="s">
        <v>420</v>
      </c>
      <c r="B28" s="8">
        <v>1</v>
      </c>
      <c r="C28" s="8">
        <v>1</v>
      </c>
      <c r="D28" s="8">
        <v>1</v>
      </c>
      <c r="E28" s="8">
        <v>1</v>
      </c>
      <c r="F28" t="s">
        <v>245</v>
      </c>
      <c r="G28" t="s">
        <v>24</v>
      </c>
      <c r="H28" t="s">
        <v>385</v>
      </c>
      <c r="I28" s="8" t="s">
        <v>209</v>
      </c>
      <c r="J28" t="s">
        <v>160</v>
      </c>
    </row>
    <row r="29" spans="1:10" x14ac:dyDescent="0.2">
      <c r="A29" t="s">
        <v>419</v>
      </c>
      <c r="B29" s="8">
        <v>1</v>
      </c>
      <c r="C29" s="8">
        <v>1</v>
      </c>
      <c r="D29" s="8">
        <v>1</v>
      </c>
      <c r="E29" s="8">
        <v>1</v>
      </c>
      <c r="F29" t="s">
        <v>243</v>
      </c>
      <c r="G29" t="s">
        <v>24</v>
      </c>
      <c r="H29" t="s">
        <v>385</v>
      </c>
      <c r="I29" s="8" t="s">
        <v>209</v>
      </c>
      <c r="J29" t="s">
        <v>162</v>
      </c>
    </row>
    <row r="30" spans="1:10" x14ac:dyDescent="0.2">
      <c r="A30" t="s">
        <v>418</v>
      </c>
      <c r="B30" s="8">
        <v>1</v>
      </c>
      <c r="C30" s="8">
        <v>1</v>
      </c>
      <c r="D30" s="8">
        <v>1</v>
      </c>
      <c r="E30" s="8">
        <v>1</v>
      </c>
      <c r="F30" t="s">
        <v>243</v>
      </c>
      <c r="G30" t="s">
        <v>24</v>
      </c>
      <c r="H30" t="s">
        <v>385</v>
      </c>
      <c r="I30" s="8" t="s">
        <v>209</v>
      </c>
      <c r="J30" t="s">
        <v>162</v>
      </c>
    </row>
    <row r="31" spans="1:10" x14ac:dyDescent="0.2">
      <c r="A31" t="s">
        <v>417</v>
      </c>
      <c r="B31" s="8">
        <v>0.99990000000000001</v>
      </c>
      <c r="C31" s="8">
        <v>1</v>
      </c>
      <c r="D31" s="8">
        <v>0.99990000000000001</v>
      </c>
      <c r="E31" s="8">
        <v>1</v>
      </c>
      <c r="F31" t="s">
        <v>243</v>
      </c>
      <c r="G31" t="s">
        <v>24</v>
      </c>
      <c r="H31" t="s">
        <v>328</v>
      </c>
      <c r="I31" s="8" t="s">
        <v>209</v>
      </c>
      <c r="J31" t="s">
        <v>162</v>
      </c>
    </row>
    <row r="32" spans="1:10" x14ac:dyDescent="0.2">
      <c r="A32" t="s">
        <v>416</v>
      </c>
      <c r="B32" s="8">
        <v>0.99970000000000003</v>
      </c>
      <c r="C32" s="8">
        <v>1</v>
      </c>
      <c r="D32" s="8">
        <v>0.99970000000000003</v>
      </c>
      <c r="E32" s="8">
        <v>1</v>
      </c>
      <c r="F32" t="s">
        <v>241</v>
      </c>
      <c r="G32" t="s">
        <v>24</v>
      </c>
      <c r="H32" t="s">
        <v>385</v>
      </c>
      <c r="I32" s="8" t="s">
        <v>209</v>
      </c>
      <c r="J32" t="s">
        <v>163</v>
      </c>
    </row>
    <row r="33" spans="1:10" x14ac:dyDescent="0.2">
      <c r="A33" t="s">
        <v>415</v>
      </c>
      <c r="B33" s="8">
        <v>0.69450000000000001</v>
      </c>
      <c r="C33" s="8">
        <v>0.69920000000000004</v>
      </c>
      <c r="D33" s="8">
        <v>0.69450000000000001</v>
      </c>
      <c r="E33" s="8">
        <v>0.69920000000000004</v>
      </c>
      <c r="F33" t="s">
        <v>413</v>
      </c>
      <c r="G33" t="s">
        <v>24</v>
      </c>
      <c r="H33" t="s">
        <v>273</v>
      </c>
      <c r="I33" s="8" t="s">
        <v>209</v>
      </c>
      <c r="J33" t="s">
        <v>164</v>
      </c>
    </row>
    <row r="34" spans="1:10" x14ac:dyDescent="0.2">
      <c r="A34" t="s">
        <v>414</v>
      </c>
      <c r="B34" s="8">
        <v>1</v>
      </c>
      <c r="C34" s="8">
        <v>1</v>
      </c>
      <c r="D34" s="8">
        <v>1</v>
      </c>
      <c r="E34" s="8">
        <v>1</v>
      </c>
      <c r="F34" t="s">
        <v>413</v>
      </c>
      <c r="G34" t="s">
        <v>24</v>
      </c>
      <c r="H34" t="s">
        <v>385</v>
      </c>
      <c r="I34" s="8" t="s">
        <v>209</v>
      </c>
      <c r="J34" t="s">
        <v>164</v>
      </c>
    </row>
    <row r="35" spans="1:10" x14ac:dyDescent="0.2">
      <c r="A35" t="s">
        <v>412</v>
      </c>
      <c r="B35" s="8">
        <v>0.63329999999999997</v>
      </c>
      <c r="C35" s="8">
        <v>0.63329999999999997</v>
      </c>
      <c r="D35" s="8">
        <v>1</v>
      </c>
      <c r="E35" s="8">
        <v>1</v>
      </c>
      <c r="F35" t="s">
        <v>410</v>
      </c>
      <c r="G35" t="s">
        <v>24</v>
      </c>
      <c r="H35" t="s">
        <v>281</v>
      </c>
      <c r="I35" s="8" t="s">
        <v>209</v>
      </c>
      <c r="J35" t="s">
        <v>165</v>
      </c>
    </row>
    <row r="36" spans="1:10" x14ac:dyDescent="0.2">
      <c r="A36" t="s">
        <v>411</v>
      </c>
      <c r="B36" s="8">
        <v>0.58520000000000005</v>
      </c>
      <c r="C36" s="8">
        <v>0.58520000000000005</v>
      </c>
      <c r="D36" s="8">
        <v>1</v>
      </c>
      <c r="E36" s="8">
        <v>1</v>
      </c>
      <c r="F36" t="s">
        <v>410</v>
      </c>
      <c r="G36" t="s">
        <v>24</v>
      </c>
      <c r="H36" t="s">
        <v>281</v>
      </c>
      <c r="I36" s="8" t="s">
        <v>209</v>
      </c>
      <c r="J36" t="s">
        <v>165</v>
      </c>
    </row>
    <row r="37" spans="1:10" x14ac:dyDescent="0.2">
      <c r="A37" t="s">
        <v>409</v>
      </c>
      <c r="B37" s="8">
        <v>1</v>
      </c>
      <c r="C37" s="8">
        <v>1</v>
      </c>
      <c r="D37" s="8">
        <v>1</v>
      </c>
      <c r="E37" s="8">
        <v>1</v>
      </c>
      <c r="F37" t="s">
        <v>239</v>
      </c>
      <c r="G37" t="s">
        <v>24</v>
      </c>
      <c r="H37" t="s">
        <v>385</v>
      </c>
      <c r="I37" s="8" t="s">
        <v>209</v>
      </c>
      <c r="J37" t="s">
        <v>166</v>
      </c>
    </row>
    <row r="38" spans="1:10" x14ac:dyDescent="0.2">
      <c r="A38" t="s">
        <v>408</v>
      </c>
      <c r="B38" s="8">
        <v>1</v>
      </c>
      <c r="C38" s="8">
        <v>1</v>
      </c>
      <c r="D38" s="8">
        <v>1</v>
      </c>
      <c r="E38" s="8">
        <v>1</v>
      </c>
      <c r="F38" t="s">
        <v>239</v>
      </c>
      <c r="G38" t="s">
        <v>24</v>
      </c>
      <c r="H38" t="s">
        <v>385</v>
      </c>
      <c r="I38" s="8" t="s">
        <v>209</v>
      </c>
      <c r="J38" t="s">
        <v>166</v>
      </c>
    </row>
    <row r="39" spans="1:10" x14ac:dyDescent="0.2">
      <c r="A39" t="s">
        <v>407</v>
      </c>
      <c r="B39" s="8">
        <v>1</v>
      </c>
      <c r="C39" s="8">
        <v>1</v>
      </c>
      <c r="D39" s="8">
        <v>1</v>
      </c>
      <c r="E39" s="8">
        <v>1</v>
      </c>
      <c r="F39" t="s">
        <v>239</v>
      </c>
      <c r="G39" t="s">
        <v>24</v>
      </c>
      <c r="H39" t="s">
        <v>385</v>
      </c>
      <c r="I39" s="8" t="s">
        <v>209</v>
      </c>
      <c r="J39" t="s">
        <v>166</v>
      </c>
    </row>
    <row r="40" spans="1:10" x14ac:dyDescent="0.2">
      <c r="A40" t="s">
        <v>406</v>
      </c>
      <c r="B40" s="8">
        <v>0.53169999999999995</v>
      </c>
      <c r="C40" s="8">
        <v>0.53169999999999995</v>
      </c>
      <c r="D40" s="8">
        <v>1</v>
      </c>
      <c r="E40" s="8">
        <v>1</v>
      </c>
      <c r="F40" t="s">
        <v>311</v>
      </c>
      <c r="G40" t="s">
        <v>24</v>
      </c>
      <c r="H40" t="s">
        <v>281</v>
      </c>
      <c r="I40" s="8" t="s">
        <v>209</v>
      </c>
      <c r="J40" t="s">
        <v>167</v>
      </c>
    </row>
    <row r="41" spans="1:10" x14ac:dyDescent="0.2">
      <c r="A41" t="s">
        <v>405</v>
      </c>
      <c r="B41" s="8">
        <v>1</v>
      </c>
      <c r="C41" s="8">
        <v>1</v>
      </c>
      <c r="D41" s="8">
        <v>1</v>
      </c>
      <c r="E41" s="8">
        <v>1</v>
      </c>
      <c r="F41" t="s">
        <v>404</v>
      </c>
      <c r="G41" t="s">
        <v>24</v>
      </c>
      <c r="H41" t="s">
        <v>328</v>
      </c>
      <c r="I41" s="8" t="s">
        <v>209</v>
      </c>
      <c r="J41" t="s">
        <v>169</v>
      </c>
    </row>
    <row r="42" spans="1:10" x14ac:dyDescent="0.2">
      <c r="A42" t="s">
        <v>403</v>
      </c>
      <c r="B42" s="8">
        <v>1</v>
      </c>
      <c r="C42" s="8">
        <v>1</v>
      </c>
      <c r="D42" s="8">
        <v>1</v>
      </c>
      <c r="E42" s="8">
        <v>1</v>
      </c>
      <c r="F42" t="s">
        <v>237</v>
      </c>
      <c r="G42" t="s">
        <v>24</v>
      </c>
      <c r="H42" t="s">
        <v>385</v>
      </c>
      <c r="I42" s="8" t="s">
        <v>209</v>
      </c>
      <c r="J42" t="s">
        <v>170</v>
      </c>
    </row>
    <row r="43" spans="1:10" x14ac:dyDescent="0.2">
      <c r="A43" t="s">
        <v>402</v>
      </c>
      <c r="B43" s="8">
        <v>1</v>
      </c>
      <c r="C43" s="8">
        <v>1</v>
      </c>
      <c r="D43" s="8">
        <v>1</v>
      </c>
      <c r="E43" s="8">
        <v>1</v>
      </c>
      <c r="F43" t="s">
        <v>401</v>
      </c>
      <c r="G43" t="s">
        <v>24</v>
      </c>
      <c r="H43" t="s">
        <v>385</v>
      </c>
      <c r="I43" s="8" t="s">
        <v>209</v>
      </c>
      <c r="J43" t="s">
        <v>171</v>
      </c>
    </row>
    <row r="44" spans="1:10" x14ac:dyDescent="0.2">
      <c r="A44" t="s">
        <v>400</v>
      </c>
      <c r="B44" s="8">
        <v>0.98660000000000003</v>
      </c>
      <c r="C44" s="8">
        <v>0.98719999999999997</v>
      </c>
      <c r="D44" s="8">
        <v>0.98660000000000003</v>
      </c>
      <c r="E44" s="8">
        <v>0.98719999999999997</v>
      </c>
      <c r="F44" t="s">
        <v>233</v>
      </c>
      <c r="G44" t="s">
        <v>24</v>
      </c>
      <c r="H44" t="s">
        <v>328</v>
      </c>
      <c r="I44" s="8" t="s">
        <v>209</v>
      </c>
      <c r="J44" t="s">
        <v>176</v>
      </c>
    </row>
    <row r="45" spans="1:10" x14ac:dyDescent="0.2">
      <c r="A45" t="s">
        <v>399</v>
      </c>
      <c r="B45" s="8">
        <v>1</v>
      </c>
      <c r="C45" s="8">
        <v>1</v>
      </c>
      <c r="D45" s="8">
        <v>1</v>
      </c>
      <c r="E45" s="8">
        <v>1</v>
      </c>
      <c r="F45" t="s">
        <v>233</v>
      </c>
      <c r="G45" t="s">
        <v>24</v>
      </c>
      <c r="H45" t="s">
        <v>385</v>
      </c>
      <c r="I45" s="8" t="s">
        <v>209</v>
      </c>
      <c r="J45" t="s">
        <v>176</v>
      </c>
    </row>
    <row r="46" spans="1:10" x14ac:dyDescent="0.2">
      <c r="A46" t="s">
        <v>398</v>
      </c>
      <c r="B46" s="8">
        <v>1</v>
      </c>
      <c r="C46" s="8">
        <v>1</v>
      </c>
      <c r="D46" s="8">
        <v>1</v>
      </c>
      <c r="E46" s="8">
        <v>1</v>
      </c>
      <c r="F46" t="s">
        <v>233</v>
      </c>
      <c r="G46" t="s">
        <v>24</v>
      </c>
      <c r="H46" t="s">
        <v>385</v>
      </c>
      <c r="I46" s="8" t="s">
        <v>209</v>
      </c>
      <c r="J46" t="s">
        <v>176</v>
      </c>
    </row>
    <row r="47" spans="1:10" x14ac:dyDescent="0.2">
      <c r="A47" t="s">
        <v>397</v>
      </c>
      <c r="B47" s="8">
        <v>1</v>
      </c>
      <c r="C47" s="8">
        <v>1</v>
      </c>
      <c r="D47" s="8">
        <v>1</v>
      </c>
      <c r="E47" s="8">
        <v>1</v>
      </c>
      <c r="F47" t="s">
        <v>233</v>
      </c>
      <c r="G47" t="s">
        <v>24</v>
      </c>
      <c r="H47" t="s">
        <v>385</v>
      </c>
      <c r="I47" s="8" t="s">
        <v>209</v>
      </c>
      <c r="J47" t="s">
        <v>176</v>
      </c>
    </row>
    <row r="48" spans="1:10" x14ac:dyDescent="0.2">
      <c r="A48" t="s">
        <v>396</v>
      </c>
      <c r="B48" s="8">
        <v>0.98670000000000002</v>
      </c>
      <c r="C48" s="8">
        <v>0.9899</v>
      </c>
      <c r="D48" s="8">
        <v>0.98670000000000002</v>
      </c>
      <c r="E48" s="8">
        <v>0.9899</v>
      </c>
      <c r="F48" t="s">
        <v>231</v>
      </c>
      <c r="G48" t="s">
        <v>24</v>
      </c>
      <c r="H48" t="s">
        <v>385</v>
      </c>
      <c r="I48" s="8" t="s">
        <v>209</v>
      </c>
      <c r="J48" t="s">
        <v>178</v>
      </c>
    </row>
    <row r="49" spans="1:10" x14ac:dyDescent="0.2">
      <c r="A49" t="s">
        <v>395</v>
      </c>
      <c r="B49" s="8">
        <v>0.97889999999999999</v>
      </c>
      <c r="C49" s="8">
        <v>1</v>
      </c>
      <c r="D49" s="8">
        <v>0.97889999999999999</v>
      </c>
      <c r="E49" s="8">
        <v>1</v>
      </c>
      <c r="F49" t="s">
        <v>392</v>
      </c>
      <c r="G49" t="s">
        <v>24</v>
      </c>
      <c r="H49" t="s">
        <v>394</v>
      </c>
      <c r="I49" s="8" t="s">
        <v>209</v>
      </c>
      <c r="J49" t="s">
        <v>180</v>
      </c>
    </row>
    <row r="50" spans="1:10" x14ac:dyDescent="0.2">
      <c r="A50" t="s">
        <v>393</v>
      </c>
      <c r="B50" s="8">
        <v>0.95609999999999995</v>
      </c>
      <c r="C50" s="8">
        <v>0.95609999999999995</v>
      </c>
      <c r="D50" s="8">
        <v>0.95609999999999995</v>
      </c>
      <c r="E50" s="8">
        <v>0.95609999999999995</v>
      </c>
      <c r="F50" t="s">
        <v>392</v>
      </c>
      <c r="G50" t="s">
        <v>24</v>
      </c>
      <c r="H50" t="s">
        <v>385</v>
      </c>
      <c r="I50" s="8" t="s">
        <v>209</v>
      </c>
      <c r="J50" t="s">
        <v>180</v>
      </c>
    </row>
    <row r="51" spans="1:10" x14ac:dyDescent="0.2">
      <c r="A51" t="s">
        <v>391</v>
      </c>
      <c r="B51" s="8">
        <v>1</v>
      </c>
      <c r="C51" s="8">
        <v>1</v>
      </c>
      <c r="D51" s="8">
        <v>1</v>
      </c>
      <c r="E51" s="8">
        <v>1</v>
      </c>
      <c r="F51" t="s">
        <v>223</v>
      </c>
      <c r="G51" t="s">
        <v>24</v>
      </c>
      <c r="H51" t="s">
        <v>328</v>
      </c>
      <c r="I51" s="8" t="s">
        <v>209</v>
      </c>
      <c r="J51" t="s">
        <v>186</v>
      </c>
    </row>
    <row r="52" spans="1:10" x14ac:dyDescent="0.2">
      <c r="A52" t="s">
        <v>390</v>
      </c>
      <c r="B52" s="8">
        <v>0.71840000000000004</v>
      </c>
      <c r="C52" s="8">
        <v>0.71840000000000004</v>
      </c>
      <c r="D52" s="8">
        <v>1</v>
      </c>
      <c r="E52" s="8">
        <v>1</v>
      </c>
      <c r="F52" t="s">
        <v>223</v>
      </c>
      <c r="G52" t="s">
        <v>24</v>
      </c>
      <c r="H52" t="s">
        <v>281</v>
      </c>
      <c r="I52" s="8" t="s">
        <v>209</v>
      </c>
      <c r="J52" t="s">
        <v>186</v>
      </c>
    </row>
    <row r="53" spans="1:10" x14ac:dyDescent="0.2">
      <c r="A53" t="s">
        <v>389</v>
      </c>
      <c r="B53" s="8">
        <v>0.82010000000000005</v>
      </c>
      <c r="C53" s="8">
        <v>0.82489999999999997</v>
      </c>
      <c r="D53" s="8">
        <v>0.99409999999999998</v>
      </c>
      <c r="E53" s="8">
        <v>1</v>
      </c>
      <c r="F53" t="s">
        <v>331</v>
      </c>
      <c r="G53" t="s">
        <v>16</v>
      </c>
      <c r="H53" t="s">
        <v>281</v>
      </c>
      <c r="I53" s="8" t="s">
        <v>209</v>
      </c>
      <c r="J53" t="s">
        <v>196</v>
      </c>
    </row>
    <row r="54" spans="1:10" x14ac:dyDescent="0.2">
      <c r="A54" t="s">
        <v>388</v>
      </c>
      <c r="B54" s="8">
        <v>0.79630000000000001</v>
      </c>
      <c r="C54" s="8">
        <v>0.80320000000000003</v>
      </c>
      <c r="D54" s="8">
        <v>0.79630000000000001</v>
      </c>
      <c r="E54" s="8">
        <v>0.80320000000000003</v>
      </c>
      <c r="F54" t="s">
        <v>331</v>
      </c>
      <c r="G54" t="s">
        <v>16</v>
      </c>
      <c r="H54" t="s">
        <v>387</v>
      </c>
      <c r="I54" s="8" t="s">
        <v>209</v>
      </c>
      <c r="J54" t="s">
        <v>196</v>
      </c>
    </row>
    <row r="55" spans="1:10" x14ac:dyDescent="0.2">
      <c r="A55" t="s">
        <v>386</v>
      </c>
      <c r="B55" s="8">
        <v>1</v>
      </c>
      <c r="C55" s="8">
        <v>1</v>
      </c>
      <c r="D55" s="8">
        <v>1</v>
      </c>
      <c r="E55" s="8">
        <v>1</v>
      </c>
      <c r="F55" t="s">
        <v>331</v>
      </c>
      <c r="G55" t="s">
        <v>16</v>
      </c>
      <c r="H55" t="s">
        <v>385</v>
      </c>
      <c r="I55" s="8" t="s">
        <v>209</v>
      </c>
      <c r="J55" t="s">
        <v>196</v>
      </c>
    </row>
    <row r="56" spans="1:10" x14ac:dyDescent="0.2">
      <c r="A56" t="s">
        <v>384</v>
      </c>
      <c r="B56" s="8">
        <v>0.99170000000000003</v>
      </c>
      <c r="C56" s="8">
        <v>1</v>
      </c>
      <c r="D56" s="8">
        <v>0.99170000000000003</v>
      </c>
      <c r="E56" s="8">
        <v>1</v>
      </c>
      <c r="F56" t="s">
        <v>383</v>
      </c>
      <c r="G56" t="s">
        <v>24</v>
      </c>
      <c r="H56" t="s">
        <v>281</v>
      </c>
      <c r="I56" s="8" t="s">
        <v>209</v>
      </c>
      <c r="J56" t="s">
        <v>60</v>
      </c>
    </row>
    <row r="57" spans="1:10" x14ac:dyDescent="0.2">
      <c r="A57" t="s">
        <v>382</v>
      </c>
      <c r="B57" s="8">
        <v>0.79620000000000002</v>
      </c>
      <c r="C57" s="8">
        <v>0.79620000000000002</v>
      </c>
      <c r="D57" s="8">
        <v>0.79620000000000002</v>
      </c>
      <c r="E57" s="8">
        <v>0.79620000000000002</v>
      </c>
      <c r="F57" t="s">
        <v>381</v>
      </c>
      <c r="G57" t="s">
        <v>37</v>
      </c>
      <c r="H57" t="s">
        <v>325</v>
      </c>
      <c r="I57" s="8" t="s">
        <v>210</v>
      </c>
      <c r="J57" t="s">
        <v>73</v>
      </c>
    </row>
    <row r="58" spans="1:10" x14ac:dyDescent="0.2">
      <c r="A58" t="s">
        <v>380</v>
      </c>
      <c r="B58" s="8">
        <v>1</v>
      </c>
      <c r="C58" s="8">
        <v>1</v>
      </c>
      <c r="D58" s="8">
        <v>1</v>
      </c>
      <c r="E58" s="8">
        <v>1</v>
      </c>
      <c r="F58" t="s">
        <v>292</v>
      </c>
      <c r="G58" t="s">
        <v>14</v>
      </c>
      <c r="H58" t="s">
        <v>325</v>
      </c>
      <c r="I58" s="8" t="s">
        <v>210</v>
      </c>
      <c r="J58" t="s">
        <v>89</v>
      </c>
    </row>
    <row r="59" spans="1:10" x14ac:dyDescent="0.2">
      <c r="A59" t="s">
        <v>379</v>
      </c>
      <c r="B59" s="8">
        <v>1</v>
      </c>
      <c r="C59" s="8">
        <v>1</v>
      </c>
      <c r="D59" s="8">
        <v>1</v>
      </c>
      <c r="E59" s="8">
        <v>1</v>
      </c>
      <c r="F59" t="s">
        <v>378</v>
      </c>
      <c r="G59" t="s">
        <v>14</v>
      </c>
      <c r="H59" t="s">
        <v>325</v>
      </c>
      <c r="I59" s="8" t="s">
        <v>210</v>
      </c>
      <c r="J59" t="s">
        <v>91</v>
      </c>
    </row>
    <row r="60" spans="1:10" x14ac:dyDescent="0.2">
      <c r="A60" t="s">
        <v>377</v>
      </c>
      <c r="B60" s="8">
        <v>1</v>
      </c>
      <c r="C60" s="8">
        <v>1</v>
      </c>
      <c r="D60" s="8">
        <v>1</v>
      </c>
      <c r="E60" s="8">
        <v>1</v>
      </c>
      <c r="F60" t="s">
        <v>376</v>
      </c>
      <c r="G60" t="s">
        <v>24</v>
      </c>
      <c r="H60" t="s">
        <v>325</v>
      </c>
      <c r="I60" s="8" t="s">
        <v>210</v>
      </c>
      <c r="J60" t="s">
        <v>140</v>
      </c>
    </row>
    <row r="61" spans="1:10" x14ac:dyDescent="0.2">
      <c r="A61" t="s">
        <v>375</v>
      </c>
      <c r="B61" s="8">
        <v>0.59660000000000002</v>
      </c>
      <c r="C61" s="8">
        <v>0.59660000000000002</v>
      </c>
      <c r="D61" s="8">
        <v>0.59660000000000002</v>
      </c>
      <c r="E61" s="8">
        <v>0.59660000000000002</v>
      </c>
      <c r="F61" t="s">
        <v>372</v>
      </c>
      <c r="G61" t="s">
        <v>12</v>
      </c>
      <c r="H61" t="s">
        <v>325</v>
      </c>
      <c r="I61" s="8" t="s">
        <v>210</v>
      </c>
      <c r="J61" t="s">
        <v>175</v>
      </c>
    </row>
    <row r="62" spans="1:10" x14ac:dyDescent="0.2">
      <c r="A62" t="s">
        <v>374</v>
      </c>
      <c r="B62" s="8">
        <v>0.74170000000000003</v>
      </c>
      <c r="C62" s="8">
        <v>0.74170000000000003</v>
      </c>
      <c r="D62" s="8">
        <v>1</v>
      </c>
      <c r="E62" s="8">
        <v>1</v>
      </c>
      <c r="F62" t="s">
        <v>372</v>
      </c>
      <c r="G62" t="s">
        <v>12</v>
      </c>
      <c r="H62" t="s">
        <v>281</v>
      </c>
      <c r="I62" s="8" t="s">
        <v>210</v>
      </c>
      <c r="J62" t="s">
        <v>175</v>
      </c>
    </row>
    <row r="63" spans="1:10" x14ac:dyDescent="0.2">
      <c r="A63" t="s">
        <v>373</v>
      </c>
      <c r="B63" s="8">
        <v>0.99619999999999997</v>
      </c>
      <c r="C63" s="8">
        <v>1</v>
      </c>
      <c r="D63" s="8">
        <v>0.99619999999999997</v>
      </c>
      <c r="E63" s="8">
        <v>1</v>
      </c>
      <c r="F63" t="s">
        <v>372</v>
      </c>
      <c r="G63" t="s">
        <v>12</v>
      </c>
      <c r="H63" t="s">
        <v>328</v>
      </c>
      <c r="I63" s="8" t="s">
        <v>210</v>
      </c>
      <c r="J63" t="s">
        <v>175</v>
      </c>
    </row>
    <row r="64" spans="1:10" x14ac:dyDescent="0.2">
      <c r="A64" t="s">
        <v>371</v>
      </c>
      <c r="B64" s="8">
        <v>0.79879999999999995</v>
      </c>
      <c r="C64" s="8">
        <v>0.79879999999999995</v>
      </c>
      <c r="D64" s="8">
        <v>1</v>
      </c>
      <c r="E64" s="8">
        <v>1</v>
      </c>
      <c r="F64" t="s">
        <v>370</v>
      </c>
      <c r="H64" t="s">
        <v>281</v>
      </c>
      <c r="I64" s="8" t="s">
        <v>210</v>
      </c>
      <c r="J64" t="s">
        <v>71</v>
      </c>
    </row>
    <row r="65" spans="1:10" x14ac:dyDescent="0.2">
      <c r="A65" t="s">
        <v>369</v>
      </c>
      <c r="B65" s="8">
        <v>1</v>
      </c>
      <c r="C65" s="8">
        <v>1</v>
      </c>
      <c r="D65" s="8">
        <v>1</v>
      </c>
      <c r="E65" s="8">
        <v>1</v>
      </c>
      <c r="F65" t="s">
        <v>366</v>
      </c>
      <c r="G65" t="s">
        <v>43</v>
      </c>
      <c r="H65" t="s">
        <v>328</v>
      </c>
      <c r="I65" s="8" t="s">
        <v>208</v>
      </c>
      <c r="J65" t="s">
        <v>67</v>
      </c>
    </row>
    <row r="66" spans="1:10" x14ac:dyDescent="0.2">
      <c r="A66" t="s">
        <v>368</v>
      </c>
      <c r="B66" s="8">
        <v>1</v>
      </c>
      <c r="C66" s="8">
        <v>1</v>
      </c>
      <c r="D66" s="8">
        <v>1</v>
      </c>
      <c r="E66" s="8">
        <v>1</v>
      </c>
      <c r="F66" t="s">
        <v>366</v>
      </c>
      <c r="G66" t="s">
        <v>43</v>
      </c>
      <c r="H66" t="s">
        <v>328</v>
      </c>
      <c r="I66" s="8" t="s">
        <v>208</v>
      </c>
      <c r="J66" t="s">
        <v>67</v>
      </c>
    </row>
    <row r="67" spans="1:10" x14ac:dyDescent="0.2">
      <c r="A67" t="s">
        <v>367</v>
      </c>
      <c r="B67" s="8">
        <v>1</v>
      </c>
      <c r="C67" s="8">
        <v>1</v>
      </c>
      <c r="D67" s="8">
        <v>1</v>
      </c>
      <c r="E67" s="8">
        <v>1</v>
      </c>
      <c r="F67" t="s">
        <v>366</v>
      </c>
      <c r="G67" t="s">
        <v>43</v>
      </c>
      <c r="H67" t="s">
        <v>328</v>
      </c>
      <c r="I67" s="8" t="s">
        <v>208</v>
      </c>
      <c r="J67" t="s">
        <v>67</v>
      </c>
    </row>
    <row r="68" spans="1:10" x14ac:dyDescent="0.2">
      <c r="A68" s="15" t="s">
        <v>365</v>
      </c>
      <c r="B68" s="8">
        <v>0.7228</v>
      </c>
      <c r="C68" s="8">
        <v>0.7228</v>
      </c>
      <c r="D68" s="8">
        <v>1</v>
      </c>
      <c r="E68" s="8">
        <v>1</v>
      </c>
      <c r="F68" t="s">
        <v>323</v>
      </c>
      <c r="G68" t="s">
        <v>30</v>
      </c>
      <c r="H68" t="s">
        <v>281</v>
      </c>
      <c r="I68" s="8" t="s">
        <v>208</v>
      </c>
      <c r="J68" t="s">
        <v>204</v>
      </c>
    </row>
    <row r="69" spans="1:10" x14ac:dyDescent="0.2">
      <c r="A69" t="s">
        <v>364</v>
      </c>
      <c r="B69" s="8">
        <v>0.99939999999999996</v>
      </c>
      <c r="C69" s="8">
        <v>1</v>
      </c>
      <c r="D69" s="8">
        <v>0.99939999999999996</v>
      </c>
      <c r="E69" s="8">
        <v>1</v>
      </c>
      <c r="F69" t="s">
        <v>362</v>
      </c>
      <c r="G69" t="s">
        <v>38</v>
      </c>
      <c r="H69" t="s">
        <v>328</v>
      </c>
      <c r="I69" s="8" t="s">
        <v>208</v>
      </c>
      <c r="J69" t="s">
        <v>110</v>
      </c>
    </row>
    <row r="70" spans="1:10" x14ac:dyDescent="0.2">
      <c r="A70" t="s">
        <v>363</v>
      </c>
      <c r="B70" s="8">
        <v>1</v>
      </c>
      <c r="C70" s="8">
        <v>1</v>
      </c>
      <c r="D70" s="8">
        <v>1</v>
      </c>
      <c r="E70" s="8">
        <v>1</v>
      </c>
      <c r="F70" t="s">
        <v>362</v>
      </c>
      <c r="G70" t="s">
        <v>38</v>
      </c>
      <c r="H70" t="s">
        <v>328</v>
      </c>
      <c r="I70" s="8" t="s">
        <v>208</v>
      </c>
      <c r="J70" t="s">
        <v>110</v>
      </c>
    </row>
    <row r="71" spans="1:10" x14ac:dyDescent="0.2">
      <c r="A71" t="s">
        <v>361</v>
      </c>
      <c r="B71" s="8">
        <v>0.98440000000000005</v>
      </c>
      <c r="C71" s="8">
        <v>1</v>
      </c>
      <c r="D71" s="8">
        <v>0.98440000000000005</v>
      </c>
      <c r="E71" s="8">
        <v>1</v>
      </c>
      <c r="F71" t="s">
        <v>313</v>
      </c>
      <c r="G71" t="s">
        <v>24</v>
      </c>
      <c r="H71" t="s">
        <v>328</v>
      </c>
      <c r="I71" s="8" t="s">
        <v>208</v>
      </c>
      <c r="J71" t="s">
        <v>121</v>
      </c>
    </row>
    <row r="72" spans="1:10" x14ac:dyDescent="0.2">
      <c r="A72" t="s">
        <v>360</v>
      </c>
      <c r="B72" s="8">
        <v>0.99980000000000002</v>
      </c>
      <c r="C72" s="8">
        <v>1</v>
      </c>
      <c r="D72" s="8">
        <v>0.99980000000000002</v>
      </c>
      <c r="E72" s="8">
        <v>1</v>
      </c>
      <c r="F72" t="s">
        <v>313</v>
      </c>
      <c r="H72" t="s">
        <v>328</v>
      </c>
      <c r="I72" s="8" t="s">
        <v>208</v>
      </c>
      <c r="J72" t="s">
        <v>121</v>
      </c>
    </row>
    <row r="73" spans="1:10" x14ac:dyDescent="0.2">
      <c r="A73" t="s">
        <v>359</v>
      </c>
      <c r="B73" s="8">
        <v>0.98760000000000003</v>
      </c>
      <c r="C73" s="8">
        <v>1</v>
      </c>
      <c r="D73" s="8">
        <v>0.98760000000000003</v>
      </c>
      <c r="E73" s="8">
        <v>1</v>
      </c>
      <c r="F73" t="s">
        <v>313</v>
      </c>
      <c r="G73" t="s">
        <v>24</v>
      </c>
      <c r="H73" t="s">
        <v>328</v>
      </c>
      <c r="I73" s="8" t="s">
        <v>208</v>
      </c>
      <c r="J73" t="s">
        <v>121</v>
      </c>
    </row>
    <row r="74" spans="1:10" x14ac:dyDescent="0.2">
      <c r="A74" t="s">
        <v>358</v>
      </c>
      <c r="B74" s="8">
        <v>1</v>
      </c>
      <c r="C74" s="8">
        <v>1</v>
      </c>
      <c r="D74" s="8">
        <v>1</v>
      </c>
      <c r="E74" s="8">
        <v>1</v>
      </c>
      <c r="F74" t="s">
        <v>313</v>
      </c>
      <c r="G74" t="s">
        <v>24</v>
      </c>
      <c r="H74" t="s">
        <v>328</v>
      </c>
      <c r="I74" s="8" t="s">
        <v>208</v>
      </c>
      <c r="J74" t="s">
        <v>121</v>
      </c>
    </row>
    <row r="75" spans="1:10" x14ac:dyDescent="0.2">
      <c r="A75" t="s">
        <v>357</v>
      </c>
      <c r="B75" s="8">
        <v>1</v>
      </c>
      <c r="C75" s="8">
        <v>1</v>
      </c>
      <c r="D75" s="8">
        <v>1</v>
      </c>
      <c r="E75" s="8">
        <v>1</v>
      </c>
      <c r="F75" t="s">
        <v>313</v>
      </c>
      <c r="G75" t="s">
        <v>24</v>
      </c>
      <c r="H75" t="s">
        <v>328</v>
      </c>
      <c r="I75" s="8" t="s">
        <v>208</v>
      </c>
      <c r="J75" t="s">
        <v>121</v>
      </c>
    </row>
    <row r="76" spans="1:10" x14ac:dyDescent="0.2">
      <c r="A76" t="s">
        <v>356</v>
      </c>
      <c r="B76" s="8">
        <v>1</v>
      </c>
      <c r="C76" s="8">
        <v>1</v>
      </c>
      <c r="D76" s="8">
        <v>1</v>
      </c>
      <c r="E76" s="8">
        <v>1</v>
      </c>
      <c r="F76" t="s">
        <v>313</v>
      </c>
      <c r="G76" t="s">
        <v>24</v>
      </c>
      <c r="H76" t="s">
        <v>328</v>
      </c>
      <c r="I76" s="8" t="s">
        <v>208</v>
      </c>
      <c r="J76" t="s">
        <v>121</v>
      </c>
    </row>
    <row r="77" spans="1:10" x14ac:dyDescent="0.2">
      <c r="A77" t="s">
        <v>355</v>
      </c>
      <c r="B77" s="8">
        <v>1</v>
      </c>
      <c r="C77" s="8">
        <v>1</v>
      </c>
      <c r="D77" s="8">
        <v>1</v>
      </c>
      <c r="E77" s="8">
        <v>1</v>
      </c>
      <c r="F77" t="s">
        <v>313</v>
      </c>
      <c r="G77" t="s">
        <v>24</v>
      </c>
      <c r="H77" t="s">
        <v>328</v>
      </c>
      <c r="I77" s="8" t="s">
        <v>208</v>
      </c>
      <c r="J77" t="s">
        <v>121</v>
      </c>
    </row>
    <row r="78" spans="1:10" x14ac:dyDescent="0.2">
      <c r="A78" t="s">
        <v>354</v>
      </c>
      <c r="B78" s="8">
        <v>1</v>
      </c>
      <c r="C78" s="8">
        <v>1</v>
      </c>
      <c r="D78" s="8">
        <v>1</v>
      </c>
      <c r="E78" s="8">
        <v>1</v>
      </c>
      <c r="F78" t="s">
        <v>313</v>
      </c>
      <c r="H78" t="s">
        <v>328</v>
      </c>
      <c r="I78" s="8" t="s">
        <v>208</v>
      </c>
      <c r="J78" t="s">
        <v>121</v>
      </c>
    </row>
    <row r="79" spans="1:10" x14ac:dyDescent="0.2">
      <c r="A79" t="s">
        <v>353</v>
      </c>
      <c r="B79" s="8">
        <v>1</v>
      </c>
      <c r="C79" s="8">
        <v>1</v>
      </c>
      <c r="D79" s="8">
        <v>1</v>
      </c>
      <c r="E79" s="8">
        <v>1</v>
      </c>
      <c r="F79" t="s">
        <v>313</v>
      </c>
      <c r="G79" t="s">
        <v>24</v>
      </c>
      <c r="H79" t="s">
        <v>328</v>
      </c>
      <c r="I79" s="8" t="s">
        <v>208</v>
      </c>
      <c r="J79" t="s">
        <v>121</v>
      </c>
    </row>
    <row r="80" spans="1:10" x14ac:dyDescent="0.2">
      <c r="A80" t="s">
        <v>352</v>
      </c>
      <c r="B80" s="8">
        <v>1</v>
      </c>
      <c r="C80" s="8">
        <v>1</v>
      </c>
      <c r="D80" s="8">
        <v>1</v>
      </c>
      <c r="E80" s="8">
        <v>1</v>
      </c>
      <c r="F80" t="s">
        <v>351</v>
      </c>
      <c r="G80" t="s">
        <v>35</v>
      </c>
      <c r="H80" t="s">
        <v>328</v>
      </c>
      <c r="I80" s="8" t="s">
        <v>208</v>
      </c>
      <c r="J80" t="s">
        <v>135</v>
      </c>
    </row>
    <row r="81" spans="1:10" x14ac:dyDescent="0.2">
      <c r="A81" t="s">
        <v>350</v>
      </c>
      <c r="B81" s="8">
        <v>1</v>
      </c>
      <c r="C81" s="8">
        <v>1</v>
      </c>
      <c r="D81" s="8">
        <v>1</v>
      </c>
      <c r="E81" s="8">
        <v>1</v>
      </c>
      <c r="F81" t="s">
        <v>348</v>
      </c>
      <c r="G81" t="s">
        <v>18</v>
      </c>
      <c r="H81" t="s">
        <v>328</v>
      </c>
      <c r="I81" s="8" t="s">
        <v>208</v>
      </c>
      <c r="J81" t="s">
        <v>144</v>
      </c>
    </row>
    <row r="82" spans="1:10" x14ac:dyDescent="0.2">
      <c r="A82" t="s">
        <v>349</v>
      </c>
      <c r="B82" s="8">
        <v>0.99299999999999999</v>
      </c>
      <c r="C82" s="8">
        <v>1</v>
      </c>
      <c r="D82" s="8">
        <v>0.99299999999999999</v>
      </c>
      <c r="E82" s="8">
        <v>1</v>
      </c>
      <c r="F82" t="s">
        <v>348</v>
      </c>
      <c r="G82" t="s">
        <v>18</v>
      </c>
      <c r="H82" t="s">
        <v>328</v>
      </c>
      <c r="I82" s="8" t="s">
        <v>208</v>
      </c>
      <c r="J82" t="s">
        <v>144</v>
      </c>
    </row>
    <row r="83" spans="1:10" x14ac:dyDescent="0.2">
      <c r="A83" t="s">
        <v>347</v>
      </c>
      <c r="B83" s="8">
        <v>0.98699999999999999</v>
      </c>
      <c r="C83" s="8">
        <v>1</v>
      </c>
      <c r="D83" s="8">
        <v>0.98699999999999999</v>
      </c>
      <c r="E83" s="8">
        <v>1</v>
      </c>
      <c r="F83" t="s">
        <v>346</v>
      </c>
      <c r="G83" t="s">
        <v>24</v>
      </c>
      <c r="H83" t="s">
        <v>328</v>
      </c>
      <c r="I83" s="8" t="s">
        <v>208</v>
      </c>
      <c r="J83" t="s">
        <v>159</v>
      </c>
    </row>
    <row r="84" spans="1:10" x14ac:dyDescent="0.2">
      <c r="A84" t="s">
        <v>345</v>
      </c>
      <c r="B84" s="8">
        <v>1</v>
      </c>
      <c r="C84" s="8">
        <v>1</v>
      </c>
      <c r="D84" s="8">
        <v>1</v>
      </c>
      <c r="E84" s="8">
        <v>1</v>
      </c>
      <c r="F84" t="s">
        <v>245</v>
      </c>
      <c r="H84" t="s">
        <v>328</v>
      </c>
      <c r="I84" s="8" t="s">
        <v>208</v>
      </c>
      <c r="J84" t="s">
        <v>160</v>
      </c>
    </row>
    <row r="85" spans="1:10" x14ac:dyDescent="0.2">
      <c r="A85" t="s">
        <v>344</v>
      </c>
      <c r="B85" s="8">
        <v>1</v>
      </c>
      <c r="C85" s="8">
        <v>1</v>
      </c>
      <c r="D85" s="8">
        <v>1</v>
      </c>
      <c r="E85" s="8">
        <v>1</v>
      </c>
      <c r="F85" t="s">
        <v>245</v>
      </c>
      <c r="G85" t="s">
        <v>24</v>
      </c>
      <c r="H85" t="s">
        <v>328</v>
      </c>
      <c r="I85" s="8" t="s">
        <v>208</v>
      </c>
      <c r="J85" t="s">
        <v>160</v>
      </c>
    </row>
    <row r="86" spans="1:10" x14ac:dyDescent="0.2">
      <c r="A86" t="s">
        <v>343</v>
      </c>
      <c r="B86" s="8">
        <v>1</v>
      </c>
      <c r="C86" s="8">
        <v>1</v>
      </c>
      <c r="D86" s="8">
        <v>1</v>
      </c>
      <c r="E86" s="8">
        <v>1</v>
      </c>
      <c r="F86" t="s">
        <v>245</v>
      </c>
      <c r="G86" t="s">
        <v>24</v>
      </c>
      <c r="H86" t="s">
        <v>328</v>
      </c>
      <c r="I86" s="8" t="s">
        <v>208</v>
      </c>
      <c r="J86" t="s">
        <v>160</v>
      </c>
    </row>
    <row r="87" spans="1:10" x14ac:dyDescent="0.2">
      <c r="A87" t="s">
        <v>342</v>
      </c>
      <c r="B87" s="8">
        <v>1</v>
      </c>
      <c r="C87" s="8">
        <v>1</v>
      </c>
      <c r="D87" s="8">
        <v>1</v>
      </c>
      <c r="E87" s="8">
        <v>1</v>
      </c>
      <c r="F87" t="s">
        <v>243</v>
      </c>
      <c r="G87" t="s">
        <v>24</v>
      </c>
      <c r="H87" t="s">
        <v>328</v>
      </c>
      <c r="I87" s="8" t="s">
        <v>208</v>
      </c>
      <c r="J87" t="s">
        <v>162</v>
      </c>
    </row>
    <row r="88" spans="1:10" x14ac:dyDescent="0.2">
      <c r="A88" t="s">
        <v>341</v>
      </c>
      <c r="B88" s="8">
        <v>0.99050000000000005</v>
      </c>
      <c r="C88" s="8">
        <v>1</v>
      </c>
      <c r="D88" s="8">
        <v>0.99050000000000005</v>
      </c>
      <c r="E88" s="8">
        <v>1</v>
      </c>
      <c r="F88" t="s">
        <v>239</v>
      </c>
      <c r="G88" t="s">
        <v>24</v>
      </c>
      <c r="H88" t="s">
        <v>328</v>
      </c>
      <c r="I88" s="8" t="s">
        <v>208</v>
      </c>
      <c r="J88" t="s">
        <v>166</v>
      </c>
    </row>
    <row r="89" spans="1:10" x14ac:dyDescent="0.2">
      <c r="A89" t="s">
        <v>340</v>
      </c>
      <c r="B89" s="8">
        <v>0.99590000000000001</v>
      </c>
      <c r="C89" s="8">
        <v>1</v>
      </c>
      <c r="D89" s="8">
        <v>0.99590000000000001</v>
      </c>
      <c r="E89" s="8">
        <v>1</v>
      </c>
      <c r="F89" t="s">
        <v>339</v>
      </c>
      <c r="G89" t="s">
        <v>24</v>
      </c>
      <c r="H89" t="s">
        <v>328</v>
      </c>
      <c r="I89" s="8" t="s">
        <v>208</v>
      </c>
      <c r="J89" t="s">
        <v>168</v>
      </c>
    </row>
    <row r="90" spans="1:10" x14ac:dyDescent="0.2">
      <c r="A90" t="s">
        <v>338</v>
      </c>
      <c r="B90" s="8">
        <v>1</v>
      </c>
      <c r="C90" s="8">
        <v>1</v>
      </c>
      <c r="D90" s="8">
        <v>1</v>
      </c>
      <c r="E90" s="8">
        <v>1</v>
      </c>
      <c r="F90" t="s">
        <v>237</v>
      </c>
      <c r="G90" t="s">
        <v>24</v>
      </c>
      <c r="H90" t="s">
        <v>328</v>
      </c>
      <c r="I90" s="8" t="s">
        <v>208</v>
      </c>
      <c r="J90" t="s">
        <v>170</v>
      </c>
    </row>
    <row r="91" spans="1:10" x14ac:dyDescent="0.2">
      <c r="A91" t="s">
        <v>337</v>
      </c>
      <c r="B91" s="8">
        <v>1</v>
      </c>
      <c r="C91" s="8">
        <v>1</v>
      </c>
      <c r="D91" s="8">
        <v>1</v>
      </c>
      <c r="E91" s="8">
        <v>1</v>
      </c>
      <c r="F91" t="s">
        <v>336</v>
      </c>
      <c r="G91" t="s">
        <v>44</v>
      </c>
      <c r="H91" t="s">
        <v>328</v>
      </c>
      <c r="I91" s="8" t="s">
        <v>208</v>
      </c>
      <c r="J91" t="s">
        <v>190</v>
      </c>
    </row>
    <row r="92" spans="1:10" x14ac:dyDescent="0.2">
      <c r="A92" t="s">
        <v>335</v>
      </c>
      <c r="B92" s="8">
        <v>0.99890000000000001</v>
      </c>
      <c r="C92" s="8">
        <v>1</v>
      </c>
      <c r="D92" s="8">
        <v>0.99890000000000001</v>
      </c>
      <c r="E92" s="8">
        <v>1</v>
      </c>
      <c r="F92" t="s">
        <v>217</v>
      </c>
      <c r="G92" t="s">
        <v>46</v>
      </c>
      <c r="H92" t="s">
        <v>328</v>
      </c>
      <c r="I92" s="8" t="s">
        <v>208</v>
      </c>
      <c r="J92" t="s">
        <v>194</v>
      </c>
    </row>
    <row r="93" spans="1:10" x14ac:dyDescent="0.2">
      <c r="A93" t="s">
        <v>334</v>
      </c>
      <c r="B93" s="8">
        <v>1</v>
      </c>
      <c r="C93" s="8">
        <v>1</v>
      </c>
      <c r="D93" s="8">
        <v>1</v>
      </c>
      <c r="E93" s="8">
        <v>1</v>
      </c>
      <c r="F93" t="s">
        <v>331</v>
      </c>
      <c r="G93" t="s">
        <v>16</v>
      </c>
      <c r="H93" t="s">
        <v>328</v>
      </c>
      <c r="I93" s="8" t="s">
        <v>208</v>
      </c>
      <c r="J93" t="s">
        <v>196</v>
      </c>
    </row>
    <row r="94" spans="1:10" x14ac:dyDescent="0.2">
      <c r="A94" t="s">
        <v>333</v>
      </c>
      <c r="B94" s="8">
        <v>1</v>
      </c>
      <c r="C94" s="8">
        <v>1</v>
      </c>
      <c r="D94" s="8">
        <v>1</v>
      </c>
      <c r="E94" s="8">
        <v>1</v>
      </c>
      <c r="F94" t="s">
        <v>331</v>
      </c>
      <c r="G94" t="s">
        <v>16</v>
      </c>
      <c r="H94" t="s">
        <v>328</v>
      </c>
      <c r="I94" s="8" t="s">
        <v>208</v>
      </c>
      <c r="J94" t="s">
        <v>196</v>
      </c>
    </row>
    <row r="95" spans="1:10" x14ac:dyDescent="0.2">
      <c r="A95" t="s">
        <v>332</v>
      </c>
      <c r="B95" s="8">
        <v>1</v>
      </c>
      <c r="C95" s="8">
        <v>1</v>
      </c>
      <c r="D95" s="8">
        <v>1</v>
      </c>
      <c r="E95" s="8">
        <v>1</v>
      </c>
      <c r="F95" t="s">
        <v>331</v>
      </c>
      <c r="G95" t="s">
        <v>16</v>
      </c>
      <c r="H95" t="s">
        <v>328</v>
      </c>
      <c r="I95" s="8" t="s">
        <v>208</v>
      </c>
      <c r="J95" t="s">
        <v>196</v>
      </c>
    </row>
    <row r="96" spans="1:10" x14ac:dyDescent="0.2">
      <c r="A96" t="s">
        <v>330</v>
      </c>
      <c r="B96" s="8">
        <v>0.99019999999999997</v>
      </c>
      <c r="C96" s="8">
        <v>1</v>
      </c>
      <c r="D96" s="8">
        <v>0.99019999999999997</v>
      </c>
      <c r="E96" s="8">
        <v>1</v>
      </c>
      <c r="F96" t="s">
        <v>329</v>
      </c>
      <c r="H96" t="s">
        <v>328</v>
      </c>
      <c r="I96" s="8" t="s">
        <v>208</v>
      </c>
      <c r="J96" t="s">
        <v>198</v>
      </c>
    </row>
    <row r="97" spans="1:10" x14ac:dyDescent="0.2">
      <c r="A97" t="s">
        <v>327</v>
      </c>
      <c r="B97" s="8">
        <v>1</v>
      </c>
      <c r="C97" s="8">
        <v>1</v>
      </c>
      <c r="D97" s="8">
        <v>1</v>
      </c>
      <c r="E97" s="8">
        <v>1</v>
      </c>
      <c r="F97" t="s">
        <v>326</v>
      </c>
      <c r="G97" t="s">
        <v>24</v>
      </c>
      <c r="H97" t="s">
        <v>325</v>
      </c>
      <c r="I97" s="8" t="s">
        <v>208</v>
      </c>
      <c r="J97" t="s">
        <v>127</v>
      </c>
    </row>
    <row r="98" spans="1:10" x14ac:dyDescent="0.2">
      <c r="A98" s="15" t="s">
        <v>324</v>
      </c>
      <c r="B98" s="8">
        <v>0.5111</v>
      </c>
      <c r="C98" s="8">
        <v>0.51459999999999995</v>
      </c>
      <c r="D98" s="8">
        <v>0.5111</v>
      </c>
      <c r="E98" s="8">
        <v>0.51459999999999995</v>
      </c>
      <c r="F98" t="s">
        <v>323</v>
      </c>
      <c r="G98" t="s">
        <v>30</v>
      </c>
      <c r="H98" t="s">
        <v>322</v>
      </c>
      <c r="I98" s="8" t="s">
        <v>211</v>
      </c>
      <c r="J98" t="s">
        <v>204</v>
      </c>
    </row>
    <row r="99" spans="1:10" x14ac:dyDescent="0.2">
      <c r="A99" t="s">
        <v>321</v>
      </c>
      <c r="B99" s="8">
        <v>0.93140000000000001</v>
      </c>
      <c r="C99" s="8">
        <v>0.93149999999999999</v>
      </c>
      <c r="D99" s="8">
        <v>0.99990000000000001</v>
      </c>
      <c r="E99" s="8">
        <v>1</v>
      </c>
      <c r="F99" t="s">
        <v>320</v>
      </c>
      <c r="G99" t="s">
        <v>45</v>
      </c>
      <c r="H99" t="s">
        <v>281</v>
      </c>
      <c r="I99" s="8" t="s">
        <v>212</v>
      </c>
      <c r="J99" t="s">
        <v>81</v>
      </c>
    </row>
    <row r="100" spans="1:10" x14ac:dyDescent="0.2">
      <c r="A100" t="s">
        <v>319</v>
      </c>
      <c r="B100" s="8">
        <v>0.89659999999999995</v>
      </c>
      <c r="C100" s="8">
        <v>0.89659999999999995</v>
      </c>
      <c r="D100" s="8">
        <v>1</v>
      </c>
      <c r="E100" s="8">
        <v>1</v>
      </c>
      <c r="F100" t="s">
        <v>318</v>
      </c>
      <c r="G100" t="s">
        <v>37</v>
      </c>
      <c r="H100" t="s">
        <v>281</v>
      </c>
      <c r="I100" s="8" t="s">
        <v>212</v>
      </c>
      <c r="J100" t="s">
        <v>84</v>
      </c>
    </row>
    <row r="101" spans="1:10" x14ac:dyDescent="0.2">
      <c r="A101" t="s">
        <v>317</v>
      </c>
      <c r="B101" s="8">
        <v>0.88590000000000002</v>
      </c>
      <c r="C101" s="8">
        <v>0.88639999999999997</v>
      </c>
      <c r="D101" s="8">
        <v>0.99929999999999997</v>
      </c>
      <c r="E101" s="8">
        <v>1</v>
      </c>
      <c r="F101" t="s">
        <v>251</v>
      </c>
      <c r="G101" t="s">
        <v>42</v>
      </c>
      <c r="H101" t="s">
        <v>281</v>
      </c>
      <c r="I101" s="8" t="s">
        <v>212</v>
      </c>
      <c r="J101" t="s">
        <v>107</v>
      </c>
    </row>
    <row r="102" spans="1:10" x14ac:dyDescent="0.2">
      <c r="A102" t="s">
        <v>316</v>
      </c>
      <c r="B102" s="8">
        <v>0.86799999999999999</v>
      </c>
      <c r="C102" s="8">
        <v>0.86799999999999999</v>
      </c>
      <c r="D102" s="8">
        <v>1</v>
      </c>
      <c r="E102" s="8">
        <v>1</v>
      </c>
      <c r="F102" t="s">
        <v>251</v>
      </c>
      <c r="G102" t="s">
        <v>42</v>
      </c>
      <c r="H102" t="s">
        <v>281</v>
      </c>
      <c r="I102" s="8" t="s">
        <v>212</v>
      </c>
      <c r="J102" t="s">
        <v>107</v>
      </c>
    </row>
    <row r="103" spans="1:10" x14ac:dyDescent="0.2">
      <c r="A103" t="s">
        <v>315</v>
      </c>
      <c r="B103" s="8">
        <v>0.83530000000000004</v>
      </c>
      <c r="C103" s="8">
        <v>0.83530000000000004</v>
      </c>
      <c r="D103" s="8">
        <v>1</v>
      </c>
      <c r="E103" s="8">
        <v>1</v>
      </c>
      <c r="F103" t="s">
        <v>313</v>
      </c>
      <c r="G103" t="s">
        <v>24</v>
      </c>
      <c r="H103" t="s">
        <v>281</v>
      </c>
      <c r="I103" s="8" t="s">
        <v>212</v>
      </c>
      <c r="J103" t="s">
        <v>121</v>
      </c>
    </row>
    <row r="104" spans="1:10" x14ac:dyDescent="0.2">
      <c r="A104" t="s">
        <v>314</v>
      </c>
      <c r="B104" s="8">
        <v>0.87009999999999998</v>
      </c>
      <c r="C104" s="8">
        <v>0.87009999999999998</v>
      </c>
      <c r="D104" s="8">
        <v>1</v>
      </c>
      <c r="E104" s="8">
        <v>1</v>
      </c>
      <c r="F104" t="s">
        <v>313</v>
      </c>
      <c r="G104" t="s">
        <v>24</v>
      </c>
      <c r="H104" t="s">
        <v>281</v>
      </c>
      <c r="I104" s="8" t="s">
        <v>212</v>
      </c>
      <c r="J104" t="s">
        <v>121</v>
      </c>
    </row>
    <row r="105" spans="1:10" x14ac:dyDescent="0.2">
      <c r="A105" t="s">
        <v>312</v>
      </c>
      <c r="B105" s="8">
        <v>0.99270000000000003</v>
      </c>
      <c r="C105" s="8">
        <v>0.99270000000000003</v>
      </c>
      <c r="D105" s="8">
        <v>1</v>
      </c>
      <c r="E105" s="8">
        <v>1</v>
      </c>
      <c r="F105" t="s">
        <v>311</v>
      </c>
      <c r="G105" t="s">
        <v>24</v>
      </c>
      <c r="H105" t="s">
        <v>281</v>
      </c>
      <c r="I105" s="8" t="s">
        <v>212</v>
      </c>
      <c r="J105" t="s">
        <v>167</v>
      </c>
    </row>
    <row r="106" spans="1:10" x14ac:dyDescent="0.2">
      <c r="A106" t="s">
        <v>310</v>
      </c>
      <c r="B106" s="8">
        <v>0.85660000000000003</v>
      </c>
      <c r="C106" s="8">
        <v>0.85660000000000003</v>
      </c>
      <c r="D106" s="8">
        <v>1</v>
      </c>
      <c r="E106" s="8">
        <v>1</v>
      </c>
      <c r="F106" t="s">
        <v>237</v>
      </c>
      <c r="G106" t="s">
        <v>24</v>
      </c>
      <c r="H106" t="s">
        <v>281</v>
      </c>
      <c r="I106" s="8" t="s">
        <v>212</v>
      </c>
      <c r="J106" t="s">
        <v>170</v>
      </c>
    </row>
    <row r="107" spans="1:10" x14ac:dyDescent="0.2">
      <c r="A107" t="s">
        <v>309</v>
      </c>
      <c r="B107" s="8">
        <v>0.99909999999999999</v>
      </c>
      <c r="C107" s="8">
        <v>1</v>
      </c>
      <c r="D107" s="8">
        <v>0.99909999999999999</v>
      </c>
      <c r="E107" s="8">
        <v>1</v>
      </c>
      <c r="F107" t="s">
        <v>308</v>
      </c>
      <c r="H107" t="s">
        <v>291</v>
      </c>
      <c r="I107" s="8" t="s">
        <v>213</v>
      </c>
      <c r="J107" t="s">
        <v>77</v>
      </c>
    </row>
    <row r="108" spans="1:10" x14ac:dyDescent="0.2">
      <c r="A108" t="s">
        <v>307</v>
      </c>
      <c r="B108" s="8">
        <v>0.99309999999999998</v>
      </c>
      <c r="C108" s="8">
        <v>1</v>
      </c>
      <c r="D108" s="8">
        <v>0.99309999999999998</v>
      </c>
      <c r="E108" s="8">
        <v>1</v>
      </c>
      <c r="F108" t="s">
        <v>294</v>
      </c>
      <c r="G108" t="s">
        <v>14</v>
      </c>
      <c r="H108" t="s">
        <v>291</v>
      </c>
      <c r="I108" s="8" t="s">
        <v>213</v>
      </c>
      <c r="J108" t="s">
        <v>79</v>
      </c>
    </row>
    <row r="109" spans="1:10" x14ac:dyDescent="0.2">
      <c r="A109" t="s">
        <v>306</v>
      </c>
      <c r="B109" s="8">
        <v>0.99139999999999995</v>
      </c>
      <c r="C109" s="8">
        <v>1</v>
      </c>
      <c r="D109" s="8">
        <v>0.99139999999999995</v>
      </c>
      <c r="E109" s="8">
        <v>1</v>
      </c>
      <c r="F109" t="s">
        <v>294</v>
      </c>
      <c r="G109" t="s">
        <v>14</v>
      </c>
      <c r="H109" t="s">
        <v>291</v>
      </c>
      <c r="I109" s="8" t="s">
        <v>213</v>
      </c>
      <c r="J109" t="s">
        <v>79</v>
      </c>
    </row>
    <row r="110" spans="1:10" x14ac:dyDescent="0.2">
      <c r="A110" t="s">
        <v>305</v>
      </c>
      <c r="B110" s="8">
        <v>1</v>
      </c>
      <c r="C110" s="8">
        <v>1</v>
      </c>
      <c r="D110" s="8">
        <v>1</v>
      </c>
      <c r="E110" s="8">
        <v>1</v>
      </c>
      <c r="F110" t="s">
        <v>294</v>
      </c>
      <c r="G110" t="s">
        <v>14</v>
      </c>
      <c r="H110" t="s">
        <v>291</v>
      </c>
      <c r="I110" s="8" t="s">
        <v>213</v>
      </c>
      <c r="J110" t="s">
        <v>79</v>
      </c>
    </row>
    <row r="111" spans="1:10" x14ac:dyDescent="0.2">
      <c r="A111" t="s">
        <v>304</v>
      </c>
      <c r="B111" s="8">
        <v>0.99509999999999998</v>
      </c>
      <c r="C111" s="8">
        <v>1</v>
      </c>
      <c r="D111" s="8">
        <v>0.99509999999999998</v>
      </c>
      <c r="E111" s="8">
        <v>1</v>
      </c>
      <c r="F111" t="s">
        <v>294</v>
      </c>
      <c r="G111" t="s">
        <v>14</v>
      </c>
      <c r="H111" t="s">
        <v>291</v>
      </c>
      <c r="I111" s="8" t="s">
        <v>213</v>
      </c>
      <c r="J111" t="s">
        <v>79</v>
      </c>
    </row>
    <row r="112" spans="1:10" x14ac:dyDescent="0.2">
      <c r="A112" t="s">
        <v>303</v>
      </c>
      <c r="B112" s="8">
        <v>0.99060000000000004</v>
      </c>
      <c r="C112" s="8">
        <v>1</v>
      </c>
      <c r="D112" s="8">
        <v>0.99060000000000004</v>
      </c>
      <c r="E112" s="8">
        <v>1</v>
      </c>
      <c r="F112" t="s">
        <v>294</v>
      </c>
      <c r="G112" t="s">
        <v>14</v>
      </c>
      <c r="H112" t="s">
        <v>291</v>
      </c>
      <c r="I112" s="8" t="s">
        <v>213</v>
      </c>
      <c r="J112" t="s">
        <v>79</v>
      </c>
    </row>
    <row r="113" spans="1:10" x14ac:dyDescent="0.2">
      <c r="A113" t="s">
        <v>302</v>
      </c>
      <c r="B113" s="8">
        <v>1</v>
      </c>
      <c r="C113" s="8">
        <v>1</v>
      </c>
      <c r="D113" s="8">
        <v>1</v>
      </c>
      <c r="E113" s="8">
        <v>1</v>
      </c>
      <c r="F113" t="s">
        <v>294</v>
      </c>
      <c r="G113" t="s">
        <v>14</v>
      </c>
      <c r="H113" t="s">
        <v>291</v>
      </c>
      <c r="I113" s="8" t="s">
        <v>213</v>
      </c>
      <c r="J113" t="s">
        <v>79</v>
      </c>
    </row>
    <row r="114" spans="1:10" x14ac:dyDescent="0.2">
      <c r="A114" t="s">
        <v>301</v>
      </c>
      <c r="B114" s="8">
        <v>1</v>
      </c>
      <c r="C114" s="8">
        <v>1</v>
      </c>
      <c r="D114" s="8">
        <v>1</v>
      </c>
      <c r="E114" s="8">
        <v>1</v>
      </c>
      <c r="F114" t="s">
        <v>294</v>
      </c>
      <c r="G114" t="s">
        <v>14</v>
      </c>
      <c r="H114" t="s">
        <v>291</v>
      </c>
      <c r="I114" s="8" t="s">
        <v>213</v>
      </c>
      <c r="J114" t="s">
        <v>79</v>
      </c>
    </row>
    <row r="115" spans="1:10" x14ac:dyDescent="0.2">
      <c r="A115" t="s">
        <v>300</v>
      </c>
      <c r="B115" s="8">
        <v>0.99380000000000002</v>
      </c>
      <c r="C115" s="8">
        <v>1</v>
      </c>
      <c r="D115" s="8">
        <v>0.99380000000000002</v>
      </c>
      <c r="E115" s="8">
        <v>1</v>
      </c>
      <c r="F115" t="s">
        <v>294</v>
      </c>
      <c r="G115" t="s">
        <v>14</v>
      </c>
      <c r="H115" t="s">
        <v>291</v>
      </c>
      <c r="I115" s="8" t="s">
        <v>213</v>
      </c>
      <c r="J115" t="s">
        <v>79</v>
      </c>
    </row>
    <row r="116" spans="1:10" x14ac:dyDescent="0.2">
      <c r="A116" t="s">
        <v>299</v>
      </c>
      <c r="B116" s="8">
        <v>1</v>
      </c>
      <c r="C116" s="8">
        <v>1</v>
      </c>
      <c r="D116" s="8">
        <v>1</v>
      </c>
      <c r="E116" s="8">
        <v>1</v>
      </c>
      <c r="F116" t="s">
        <v>294</v>
      </c>
      <c r="G116" t="s">
        <v>14</v>
      </c>
      <c r="H116" t="s">
        <v>291</v>
      </c>
      <c r="I116" s="8" t="s">
        <v>213</v>
      </c>
      <c r="J116" t="s">
        <v>79</v>
      </c>
    </row>
    <row r="117" spans="1:10" x14ac:dyDescent="0.2">
      <c r="A117" t="s">
        <v>298</v>
      </c>
      <c r="B117" s="8">
        <v>1</v>
      </c>
      <c r="C117" s="8">
        <v>1</v>
      </c>
      <c r="D117" s="8">
        <v>1</v>
      </c>
      <c r="E117" s="8">
        <v>1</v>
      </c>
      <c r="F117" t="s">
        <v>294</v>
      </c>
      <c r="G117" t="s">
        <v>14</v>
      </c>
      <c r="H117" t="s">
        <v>291</v>
      </c>
      <c r="I117" s="8" t="s">
        <v>213</v>
      </c>
      <c r="J117" t="s">
        <v>79</v>
      </c>
    </row>
    <row r="118" spans="1:10" x14ac:dyDescent="0.2">
      <c r="A118" t="s">
        <v>297</v>
      </c>
      <c r="B118" s="8">
        <v>1</v>
      </c>
      <c r="C118" s="8">
        <v>1</v>
      </c>
      <c r="D118" s="8">
        <v>1</v>
      </c>
      <c r="E118" s="8">
        <v>1</v>
      </c>
      <c r="F118" t="s">
        <v>294</v>
      </c>
      <c r="G118" t="s">
        <v>14</v>
      </c>
      <c r="H118" t="s">
        <v>291</v>
      </c>
      <c r="I118" s="8" t="s">
        <v>213</v>
      </c>
      <c r="J118" t="s">
        <v>79</v>
      </c>
    </row>
    <row r="119" spans="1:10" x14ac:dyDescent="0.2">
      <c r="A119" t="s">
        <v>296</v>
      </c>
      <c r="B119" s="8">
        <v>1</v>
      </c>
      <c r="C119" s="8">
        <v>1</v>
      </c>
      <c r="D119" s="8">
        <v>1</v>
      </c>
      <c r="E119" s="8">
        <v>1</v>
      </c>
      <c r="F119" t="s">
        <v>294</v>
      </c>
      <c r="G119" t="s">
        <v>14</v>
      </c>
      <c r="H119" t="s">
        <v>291</v>
      </c>
      <c r="I119" s="8" t="s">
        <v>213</v>
      </c>
      <c r="J119" t="s">
        <v>79</v>
      </c>
    </row>
    <row r="120" spans="1:10" x14ac:dyDescent="0.2">
      <c r="A120" t="s">
        <v>295</v>
      </c>
      <c r="B120" s="8">
        <v>0.99539999999999995</v>
      </c>
      <c r="C120" s="8">
        <v>1</v>
      </c>
      <c r="D120" s="8">
        <v>0.99539999999999995</v>
      </c>
      <c r="E120" s="8">
        <v>1</v>
      </c>
      <c r="F120" t="s">
        <v>294</v>
      </c>
      <c r="G120" t="s">
        <v>14</v>
      </c>
      <c r="H120" t="s">
        <v>291</v>
      </c>
      <c r="I120" s="8" t="s">
        <v>213</v>
      </c>
      <c r="J120" t="s">
        <v>79</v>
      </c>
    </row>
    <row r="121" spans="1:10" x14ac:dyDescent="0.2">
      <c r="A121" t="s">
        <v>293</v>
      </c>
      <c r="B121" s="8">
        <v>1</v>
      </c>
      <c r="C121" s="8">
        <v>1</v>
      </c>
      <c r="D121" s="8">
        <v>1</v>
      </c>
      <c r="E121" s="8">
        <v>1</v>
      </c>
      <c r="F121" t="s">
        <v>292</v>
      </c>
      <c r="G121" t="s">
        <v>14</v>
      </c>
      <c r="H121" t="s">
        <v>291</v>
      </c>
      <c r="I121" s="8" t="s">
        <v>213</v>
      </c>
      <c r="J121" t="s">
        <v>89</v>
      </c>
    </row>
    <row r="122" spans="1:10" x14ac:dyDescent="0.2">
      <c r="A122" t="s">
        <v>290</v>
      </c>
      <c r="B122" s="8">
        <v>0.6744</v>
      </c>
      <c r="C122" s="8">
        <v>0.6744</v>
      </c>
      <c r="D122" s="8">
        <v>0.6744</v>
      </c>
      <c r="E122" s="8">
        <v>0.6744</v>
      </c>
      <c r="F122" t="s">
        <v>289</v>
      </c>
      <c r="G122" t="s">
        <v>44</v>
      </c>
      <c r="H122" t="s">
        <v>273</v>
      </c>
      <c r="I122" s="8" t="s">
        <v>214</v>
      </c>
      <c r="J122" t="s">
        <v>108</v>
      </c>
    </row>
    <row r="123" spans="1:10" x14ac:dyDescent="0.2">
      <c r="A123" t="s">
        <v>288</v>
      </c>
      <c r="B123" s="8">
        <v>1</v>
      </c>
      <c r="C123" s="8">
        <v>1</v>
      </c>
      <c r="D123" s="8">
        <v>1</v>
      </c>
      <c r="E123" s="8">
        <v>1</v>
      </c>
      <c r="F123" t="s">
        <v>286</v>
      </c>
      <c r="G123" t="s">
        <v>42</v>
      </c>
      <c r="H123" t="s">
        <v>270</v>
      </c>
      <c r="I123" s="8" t="s">
        <v>214</v>
      </c>
      <c r="J123" t="s">
        <v>63</v>
      </c>
    </row>
    <row r="124" spans="1:10" x14ac:dyDescent="0.2">
      <c r="A124" t="s">
        <v>287</v>
      </c>
      <c r="B124" s="8">
        <v>1</v>
      </c>
      <c r="C124" s="8">
        <v>1</v>
      </c>
      <c r="D124" s="8">
        <v>1</v>
      </c>
      <c r="E124" s="8">
        <v>1</v>
      </c>
      <c r="F124" t="s">
        <v>286</v>
      </c>
      <c r="G124" t="s">
        <v>42</v>
      </c>
      <c r="H124" t="s">
        <v>270</v>
      </c>
      <c r="I124" s="8" t="s">
        <v>214</v>
      </c>
      <c r="J124" t="s">
        <v>63</v>
      </c>
    </row>
    <row r="125" spans="1:10" x14ac:dyDescent="0.2">
      <c r="A125" t="s">
        <v>285</v>
      </c>
      <c r="B125" s="8">
        <v>0.99250000000000005</v>
      </c>
      <c r="C125" s="8">
        <v>0.99719999999999998</v>
      </c>
      <c r="D125" s="8">
        <v>0.99529999999999996</v>
      </c>
      <c r="E125" s="8">
        <v>1</v>
      </c>
      <c r="F125" t="s">
        <v>282</v>
      </c>
      <c r="G125" t="s">
        <v>31</v>
      </c>
      <c r="H125" t="s">
        <v>281</v>
      </c>
      <c r="I125" s="8" t="s">
        <v>214</v>
      </c>
      <c r="J125" t="s">
        <v>68</v>
      </c>
    </row>
    <row r="126" spans="1:10" x14ac:dyDescent="0.2">
      <c r="A126" t="s">
        <v>284</v>
      </c>
      <c r="B126" s="8">
        <v>0.56440000000000001</v>
      </c>
      <c r="C126" s="8">
        <v>0.56469999999999998</v>
      </c>
      <c r="D126" s="8">
        <v>0.99939999999999996</v>
      </c>
      <c r="E126" s="8">
        <v>1</v>
      </c>
      <c r="F126" t="s">
        <v>282</v>
      </c>
      <c r="G126" t="s">
        <v>31</v>
      </c>
      <c r="H126" t="s">
        <v>281</v>
      </c>
      <c r="I126" s="8" t="s">
        <v>214</v>
      </c>
      <c r="J126" t="s">
        <v>68</v>
      </c>
    </row>
    <row r="127" spans="1:10" x14ac:dyDescent="0.2">
      <c r="A127" t="s">
        <v>283</v>
      </c>
      <c r="B127" s="8">
        <v>0.87570000000000003</v>
      </c>
      <c r="C127" s="8">
        <v>0.88990000000000002</v>
      </c>
      <c r="D127" s="8">
        <v>0.98399999999999999</v>
      </c>
      <c r="E127" s="8">
        <v>1</v>
      </c>
      <c r="F127" t="s">
        <v>282</v>
      </c>
      <c r="G127" t="s">
        <v>31</v>
      </c>
      <c r="H127" t="s">
        <v>281</v>
      </c>
      <c r="I127" s="8" t="s">
        <v>214</v>
      </c>
      <c r="J127" t="s">
        <v>68</v>
      </c>
    </row>
    <row r="128" spans="1:10" x14ac:dyDescent="0.2">
      <c r="A128" t="s">
        <v>280</v>
      </c>
      <c r="B128" s="8">
        <v>1</v>
      </c>
      <c r="C128" s="8">
        <v>1</v>
      </c>
      <c r="D128" s="8">
        <v>1</v>
      </c>
      <c r="E128" s="8">
        <v>1</v>
      </c>
      <c r="F128" t="s">
        <v>279</v>
      </c>
      <c r="G128" t="s">
        <v>39</v>
      </c>
      <c r="H128" t="s">
        <v>270</v>
      </c>
      <c r="I128" s="8" t="s">
        <v>214</v>
      </c>
      <c r="J128" t="s">
        <v>70</v>
      </c>
    </row>
    <row r="129" spans="1:10" x14ac:dyDescent="0.2">
      <c r="A129" t="s">
        <v>278</v>
      </c>
      <c r="B129" s="8">
        <v>0.99880000000000002</v>
      </c>
      <c r="C129" s="8">
        <v>1</v>
      </c>
      <c r="D129" s="8">
        <v>0.99880000000000002</v>
      </c>
      <c r="E129" s="8">
        <v>1</v>
      </c>
      <c r="F129" t="s">
        <v>274</v>
      </c>
      <c r="G129" t="s">
        <v>39</v>
      </c>
      <c r="H129" t="s">
        <v>277</v>
      </c>
      <c r="I129" s="8" t="s">
        <v>214</v>
      </c>
      <c r="J129" t="s">
        <v>83</v>
      </c>
    </row>
    <row r="130" spans="1:10" x14ac:dyDescent="0.2">
      <c r="A130" t="s">
        <v>276</v>
      </c>
      <c r="B130" s="8">
        <v>1</v>
      </c>
      <c r="C130" s="8">
        <v>1</v>
      </c>
      <c r="D130" s="8">
        <v>1</v>
      </c>
      <c r="E130" s="8">
        <v>1</v>
      </c>
      <c r="F130" t="s">
        <v>274</v>
      </c>
      <c r="G130" t="s">
        <v>39</v>
      </c>
      <c r="H130" t="s">
        <v>270</v>
      </c>
      <c r="I130" s="8" t="s">
        <v>214</v>
      </c>
      <c r="J130" t="s">
        <v>83</v>
      </c>
    </row>
    <row r="131" spans="1:10" x14ac:dyDescent="0.2">
      <c r="A131" t="s">
        <v>275</v>
      </c>
      <c r="B131" s="8">
        <v>1</v>
      </c>
      <c r="C131" s="8">
        <v>1</v>
      </c>
      <c r="D131" s="8">
        <v>1</v>
      </c>
      <c r="E131" s="8">
        <v>1</v>
      </c>
      <c r="F131" t="s">
        <v>274</v>
      </c>
      <c r="G131" t="s">
        <v>39</v>
      </c>
      <c r="H131" t="s">
        <v>273</v>
      </c>
      <c r="I131" s="8" t="s">
        <v>214</v>
      </c>
      <c r="J131" t="s">
        <v>83</v>
      </c>
    </row>
    <row r="132" spans="1:10" x14ac:dyDescent="0.2">
      <c r="A132" t="s">
        <v>272</v>
      </c>
      <c r="B132" s="8">
        <v>0.98250000000000004</v>
      </c>
      <c r="C132" s="8">
        <v>0.98250000000000004</v>
      </c>
      <c r="D132" s="8">
        <v>0.98250000000000004</v>
      </c>
      <c r="E132" s="8">
        <v>0.98250000000000004</v>
      </c>
      <c r="F132" t="s">
        <v>271</v>
      </c>
      <c r="G132" t="s">
        <v>31</v>
      </c>
      <c r="H132" t="s">
        <v>270</v>
      </c>
      <c r="I132" s="8" t="s">
        <v>214</v>
      </c>
      <c r="J132" t="s">
        <v>98</v>
      </c>
    </row>
    <row r="133" spans="1:10" x14ac:dyDescent="0.2">
      <c r="A133" t="s">
        <v>269</v>
      </c>
      <c r="B133" s="8">
        <v>0.99929999999999997</v>
      </c>
      <c r="C133" s="8">
        <v>1</v>
      </c>
      <c r="D133" s="8">
        <v>0.99929999999999997</v>
      </c>
      <c r="E133" s="8">
        <v>1</v>
      </c>
      <c r="F133" t="s">
        <v>268</v>
      </c>
      <c r="G133" t="s">
        <v>35</v>
      </c>
      <c r="H133" t="s">
        <v>265</v>
      </c>
      <c r="I133" s="8" t="s">
        <v>57</v>
      </c>
      <c r="J133" t="s">
        <v>59</v>
      </c>
    </row>
    <row r="134" spans="1:10" x14ac:dyDescent="0.2">
      <c r="A134" t="s">
        <v>267</v>
      </c>
      <c r="B134" s="8">
        <v>1</v>
      </c>
      <c r="C134" s="8">
        <v>1</v>
      </c>
      <c r="D134" s="8">
        <v>1</v>
      </c>
      <c r="E134" s="8">
        <v>1</v>
      </c>
      <c r="F134" t="s">
        <v>266</v>
      </c>
      <c r="G134" t="s">
        <v>35</v>
      </c>
      <c r="H134" t="s">
        <v>265</v>
      </c>
      <c r="I134" s="8" t="s">
        <v>57</v>
      </c>
      <c r="J134" t="s">
        <v>109</v>
      </c>
    </row>
    <row r="135" spans="1:10" x14ac:dyDescent="0.2">
      <c r="A135" t="s">
        <v>264</v>
      </c>
      <c r="B135" s="8">
        <v>1</v>
      </c>
      <c r="C135" s="8">
        <v>1</v>
      </c>
      <c r="D135" s="8">
        <v>1</v>
      </c>
      <c r="E135" s="8">
        <v>1</v>
      </c>
      <c r="F135" t="s">
        <v>263</v>
      </c>
      <c r="G135" t="s">
        <v>38</v>
      </c>
      <c r="H135" t="s">
        <v>216</v>
      </c>
      <c r="I135" s="8" t="s">
        <v>215</v>
      </c>
      <c r="J135" t="s">
        <v>66</v>
      </c>
    </row>
    <row r="136" spans="1:10" x14ac:dyDescent="0.2">
      <c r="A136" t="s">
        <v>262</v>
      </c>
      <c r="B136" s="8">
        <v>1</v>
      </c>
      <c r="C136" s="8">
        <v>1</v>
      </c>
      <c r="D136" s="8">
        <v>1</v>
      </c>
      <c r="E136" s="8">
        <v>1</v>
      </c>
      <c r="F136" t="s">
        <v>261</v>
      </c>
      <c r="G136" t="s">
        <v>45</v>
      </c>
      <c r="H136" t="s">
        <v>216</v>
      </c>
      <c r="I136" s="8" t="s">
        <v>215</v>
      </c>
      <c r="J136" t="s">
        <v>74</v>
      </c>
    </row>
    <row r="137" spans="1:10" x14ac:dyDescent="0.2">
      <c r="A137" t="s">
        <v>260</v>
      </c>
      <c r="B137" s="8">
        <v>1</v>
      </c>
      <c r="C137" s="8">
        <v>1</v>
      </c>
      <c r="D137" s="8">
        <v>1</v>
      </c>
      <c r="E137" s="8">
        <v>1</v>
      </c>
      <c r="F137" t="s">
        <v>259</v>
      </c>
      <c r="G137" t="s">
        <v>49</v>
      </c>
      <c r="H137" t="s">
        <v>216</v>
      </c>
      <c r="I137" s="8" t="s">
        <v>215</v>
      </c>
      <c r="J137" t="s">
        <v>96</v>
      </c>
    </row>
    <row r="138" spans="1:10" x14ac:dyDescent="0.2">
      <c r="A138" t="s">
        <v>258</v>
      </c>
      <c r="B138" s="8">
        <v>1</v>
      </c>
      <c r="C138" s="8">
        <v>1</v>
      </c>
      <c r="D138" s="8">
        <v>1</v>
      </c>
      <c r="E138" s="8">
        <v>1</v>
      </c>
      <c r="F138" t="s">
        <v>257</v>
      </c>
      <c r="G138" t="s">
        <v>43</v>
      </c>
      <c r="H138" t="s">
        <v>216</v>
      </c>
      <c r="I138" s="8" t="s">
        <v>215</v>
      </c>
      <c r="J138" t="s">
        <v>99</v>
      </c>
    </row>
    <row r="139" spans="1:10" x14ac:dyDescent="0.2">
      <c r="A139" t="s">
        <v>256</v>
      </c>
      <c r="B139" s="8">
        <v>1</v>
      </c>
      <c r="C139" s="8">
        <v>1</v>
      </c>
      <c r="D139" s="8">
        <v>1</v>
      </c>
      <c r="E139" s="8">
        <v>1</v>
      </c>
      <c r="F139" t="s">
        <v>255</v>
      </c>
      <c r="G139" t="s">
        <v>42</v>
      </c>
      <c r="H139" t="s">
        <v>216</v>
      </c>
      <c r="I139" s="8" t="s">
        <v>215</v>
      </c>
      <c r="J139" t="s">
        <v>102</v>
      </c>
    </row>
    <row r="140" spans="1:10" x14ac:dyDescent="0.2">
      <c r="A140" t="s">
        <v>254</v>
      </c>
      <c r="B140" s="8">
        <v>1</v>
      </c>
      <c r="C140" s="8">
        <v>1</v>
      </c>
      <c r="D140" s="8">
        <v>1</v>
      </c>
      <c r="E140" s="8">
        <v>1</v>
      </c>
      <c r="F140" t="s">
        <v>253</v>
      </c>
      <c r="G140" t="s">
        <v>44</v>
      </c>
      <c r="H140" t="s">
        <v>216</v>
      </c>
      <c r="I140" s="8" t="s">
        <v>215</v>
      </c>
      <c r="J140" t="s">
        <v>106</v>
      </c>
    </row>
    <row r="141" spans="1:10" x14ac:dyDescent="0.2">
      <c r="A141" t="s">
        <v>252</v>
      </c>
      <c r="B141" s="8">
        <v>0.9133</v>
      </c>
      <c r="C141" s="8">
        <v>0.92390000000000005</v>
      </c>
      <c r="D141" s="8">
        <v>0.98850000000000005</v>
      </c>
      <c r="E141" s="8">
        <v>1</v>
      </c>
      <c r="F141" t="s">
        <v>251</v>
      </c>
      <c r="G141" t="s">
        <v>42</v>
      </c>
      <c r="H141" t="s">
        <v>216</v>
      </c>
      <c r="I141" s="8" t="s">
        <v>215</v>
      </c>
      <c r="J141" t="s">
        <v>107</v>
      </c>
    </row>
    <row r="142" spans="1:10" x14ac:dyDescent="0.2">
      <c r="A142" t="s">
        <v>250</v>
      </c>
      <c r="B142" s="8">
        <v>1</v>
      </c>
      <c r="C142" s="8">
        <v>1</v>
      </c>
      <c r="D142" s="8">
        <v>1</v>
      </c>
      <c r="E142" s="8">
        <v>1</v>
      </c>
      <c r="F142" t="s">
        <v>249</v>
      </c>
      <c r="G142" t="s">
        <v>24</v>
      </c>
      <c r="H142" t="s">
        <v>216</v>
      </c>
      <c r="I142" s="8" t="s">
        <v>215</v>
      </c>
      <c r="J142" t="s">
        <v>155</v>
      </c>
    </row>
    <row r="143" spans="1:10" x14ac:dyDescent="0.2">
      <c r="A143" t="s">
        <v>248</v>
      </c>
      <c r="B143" s="8">
        <v>1</v>
      </c>
      <c r="C143" s="8">
        <v>1</v>
      </c>
      <c r="D143" s="8">
        <v>1</v>
      </c>
      <c r="E143" s="8">
        <v>1</v>
      </c>
      <c r="F143" t="s">
        <v>247</v>
      </c>
      <c r="G143" t="s">
        <v>24</v>
      </c>
      <c r="H143" t="s">
        <v>216</v>
      </c>
      <c r="I143" s="8" t="s">
        <v>215</v>
      </c>
      <c r="J143" t="s">
        <v>157</v>
      </c>
    </row>
    <row r="144" spans="1:10" x14ac:dyDescent="0.2">
      <c r="A144" t="s">
        <v>246</v>
      </c>
      <c r="B144" s="8">
        <v>1</v>
      </c>
      <c r="C144" s="8">
        <v>1</v>
      </c>
      <c r="D144" s="8">
        <v>1</v>
      </c>
      <c r="E144" s="8">
        <v>1</v>
      </c>
      <c r="F144" t="s">
        <v>245</v>
      </c>
      <c r="G144" t="s">
        <v>24</v>
      </c>
      <c r="H144" t="s">
        <v>216</v>
      </c>
      <c r="I144" s="8" t="s">
        <v>215</v>
      </c>
      <c r="J144" t="s">
        <v>160</v>
      </c>
    </row>
    <row r="145" spans="1:10" x14ac:dyDescent="0.2">
      <c r="A145" t="s">
        <v>244</v>
      </c>
      <c r="B145" s="8">
        <v>1</v>
      </c>
      <c r="C145" s="8">
        <v>1</v>
      </c>
      <c r="D145" s="8">
        <v>1</v>
      </c>
      <c r="E145" s="8">
        <v>1</v>
      </c>
      <c r="F145" t="s">
        <v>243</v>
      </c>
      <c r="G145" t="s">
        <v>24</v>
      </c>
      <c r="H145" t="s">
        <v>216</v>
      </c>
      <c r="I145" s="8" t="s">
        <v>215</v>
      </c>
      <c r="J145" t="s">
        <v>162</v>
      </c>
    </row>
    <row r="146" spans="1:10" x14ac:dyDescent="0.2">
      <c r="A146" t="s">
        <v>242</v>
      </c>
      <c r="B146" s="8">
        <v>1</v>
      </c>
      <c r="C146" s="8">
        <v>1</v>
      </c>
      <c r="D146" s="8">
        <v>1</v>
      </c>
      <c r="E146" s="8">
        <v>1</v>
      </c>
      <c r="F146" t="s">
        <v>241</v>
      </c>
      <c r="G146" t="s">
        <v>24</v>
      </c>
      <c r="H146" t="s">
        <v>216</v>
      </c>
      <c r="I146" s="8" t="s">
        <v>215</v>
      </c>
      <c r="J146" t="s">
        <v>163</v>
      </c>
    </row>
    <row r="147" spans="1:10" x14ac:dyDescent="0.2">
      <c r="A147" t="s">
        <v>240</v>
      </c>
      <c r="B147" s="8">
        <v>1</v>
      </c>
      <c r="C147" s="8">
        <v>1</v>
      </c>
      <c r="D147" s="8">
        <v>1</v>
      </c>
      <c r="E147" s="8">
        <v>1</v>
      </c>
      <c r="F147" t="s">
        <v>239</v>
      </c>
      <c r="G147" t="s">
        <v>24</v>
      </c>
      <c r="H147" t="s">
        <v>216</v>
      </c>
      <c r="I147" s="8" t="s">
        <v>215</v>
      </c>
      <c r="J147" t="s">
        <v>166</v>
      </c>
    </row>
    <row r="148" spans="1:10" x14ac:dyDescent="0.2">
      <c r="A148" t="s">
        <v>238</v>
      </c>
      <c r="B148" s="8">
        <v>1</v>
      </c>
      <c r="C148" s="8">
        <v>1</v>
      </c>
      <c r="D148" s="8">
        <v>1</v>
      </c>
      <c r="E148" s="8">
        <v>1</v>
      </c>
      <c r="F148" t="s">
        <v>237</v>
      </c>
      <c r="G148" t="s">
        <v>24</v>
      </c>
      <c r="H148" t="s">
        <v>216</v>
      </c>
      <c r="I148" s="8" t="s">
        <v>215</v>
      </c>
      <c r="J148" t="s">
        <v>170</v>
      </c>
    </row>
    <row r="149" spans="1:10" x14ac:dyDescent="0.2">
      <c r="A149" t="s">
        <v>236</v>
      </c>
      <c r="B149" s="8">
        <v>1</v>
      </c>
      <c r="C149" s="8">
        <v>1</v>
      </c>
      <c r="D149" s="8">
        <v>1</v>
      </c>
      <c r="E149" s="8">
        <v>1</v>
      </c>
      <c r="F149" t="s">
        <v>233</v>
      </c>
      <c r="G149" t="s">
        <v>24</v>
      </c>
      <c r="H149" t="s">
        <v>216</v>
      </c>
      <c r="I149" s="8" t="s">
        <v>215</v>
      </c>
      <c r="J149" t="s">
        <v>176</v>
      </c>
    </row>
    <row r="150" spans="1:10" x14ac:dyDescent="0.2">
      <c r="A150" t="s">
        <v>235</v>
      </c>
      <c r="B150" s="8">
        <v>1</v>
      </c>
      <c r="C150" s="8">
        <v>1</v>
      </c>
      <c r="D150" s="8">
        <v>1</v>
      </c>
      <c r="E150" s="8">
        <v>1</v>
      </c>
      <c r="F150" t="s">
        <v>233</v>
      </c>
      <c r="G150" t="s">
        <v>24</v>
      </c>
      <c r="H150" t="s">
        <v>216</v>
      </c>
      <c r="I150" s="8" t="s">
        <v>215</v>
      </c>
      <c r="J150" t="s">
        <v>176</v>
      </c>
    </row>
    <row r="151" spans="1:10" x14ac:dyDescent="0.2">
      <c r="A151" t="s">
        <v>234</v>
      </c>
      <c r="B151" s="8">
        <v>1</v>
      </c>
      <c r="C151" s="8">
        <v>1</v>
      </c>
      <c r="D151" s="8">
        <v>1</v>
      </c>
      <c r="E151" s="8">
        <v>1</v>
      </c>
      <c r="F151" t="s">
        <v>233</v>
      </c>
      <c r="G151" t="s">
        <v>24</v>
      </c>
      <c r="H151" t="s">
        <v>216</v>
      </c>
      <c r="I151" s="8" t="s">
        <v>215</v>
      </c>
      <c r="J151" t="s">
        <v>176</v>
      </c>
    </row>
    <row r="152" spans="1:10" x14ac:dyDescent="0.2">
      <c r="A152" t="s">
        <v>232</v>
      </c>
      <c r="B152" s="8">
        <v>1</v>
      </c>
      <c r="C152" s="8">
        <v>1</v>
      </c>
      <c r="D152" s="8">
        <v>1</v>
      </c>
      <c r="E152" s="8">
        <v>1</v>
      </c>
      <c r="F152" t="s">
        <v>231</v>
      </c>
      <c r="G152" t="s">
        <v>24</v>
      </c>
      <c r="H152" t="s">
        <v>216</v>
      </c>
      <c r="I152" s="8" t="s">
        <v>215</v>
      </c>
      <c r="J152" t="s">
        <v>178</v>
      </c>
    </row>
    <row r="153" spans="1:10" x14ac:dyDescent="0.2">
      <c r="A153" t="s">
        <v>230</v>
      </c>
      <c r="B153" s="8">
        <v>1</v>
      </c>
      <c r="C153" s="8">
        <v>1</v>
      </c>
      <c r="D153" s="8">
        <v>1</v>
      </c>
      <c r="E153" s="8">
        <v>1</v>
      </c>
      <c r="F153" t="s">
        <v>229</v>
      </c>
      <c r="G153" t="s">
        <v>24</v>
      </c>
      <c r="H153" t="s">
        <v>216</v>
      </c>
      <c r="I153" s="8" t="s">
        <v>215</v>
      </c>
      <c r="J153" t="s">
        <v>181</v>
      </c>
    </row>
    <row r="154" spans="1:10" x14ac:dyDescent="0.2">
      <c r="A154" t="s">
        <v>228</v>
      </c>
      <c r="B154" s="8">
        <v>1</v>
      </c>
      <c r="C154" s="8">
        <v>1</v>
      </c>
      <c r="D154" s="8">
        <v>1</v>
      </c>
      <c r="E154" s="8">
        <v>1</v>
      </c>
      <c r="F154" t="s">
        <v>227</v>
      </c>
      <c r="G154" t="s">
        <v>24</v>
      </c>
      <c r="H154" t="s">
        <v>216</v>
      </c>
      <c r="I154" s="8" t="s">
        <v>215</v>
      </c>
      <c r="J154" t="s">
        <v>183</v>
      </c>
    </row>
    <row r="155" spans="1:10" x14ac:dyDescent="0.2">
      <c r="A155" t="s">
        <v>226</v>
      </c>
      <c r="B155" s="8">
        <v>1</v>
      </c>
      <c r="C155" s="8">
        <v>1</v>
      </c>
      <c r="D155" s="8">
        <v>1</v>
      </c>
      <c r="E155" s="8">
        <v>1</v>
      </c>
      <c r="F155" t="s">
        <v>225</v>
      </c>
      <c r="G155" t="s">
        <v>24</v>
      </c>
      <c r="H155" t="s">
        <v>216</v>
      </c>
      <c r="I155" s="8" t="s">
        <v>215</v>
      </c>
      <c r="J155" t="s">
        <v>185</v>
      </c>
    </row>
    <row r="156" spans="1:10" x14ac:dyDescent="0.2">
      <c r="A156" t="s">
        <v>224</v>
      </c>
      <c r="B156" s="8">
        <v>1</v>
      </c>
      <c r="C156" s="8">
        <v>1</v>
      </c>
      <c r="D156" s="8">
        <v>1</v>
      </c>
      <c r="E156" s="8">
        <v>1</v>
      </c>
      <c r="F156" t="s">
        <v>223</v>
      </c>
      <c r="G156" t="s">
        <v>24</v>
      </c>
      <c r="H156" t="s">
        <v>216</v>
      </c>
      <c r="I156" s="8" t="s">
        <v>215</v>
      </c>
      <c r="J156" t="s">
        <v>186</v>
      </c>
    </row>
    <row r="157" spans="1:10" x14ac:dyDescent="0.2">
      <c r="A157" t="s">
        <v>222</v>
      </c>
      <c r="B157" s="8">
        <v>1</v>
      </c>
      <c r="C157" s="8">
        <v>1</v>
      </c>
      <c r="D157" s="8">
        <v>1</v>
      </c>
      <c r="E157" s="8">
        <v>1</v>
      </c>
      <c r="F157" t="s">
        <v>221</v>
      </c>
      <c r="G157" t="s">
        <v>24</v>
      </c>
      <c r="H157" t="s">
        <v>216</v>
      </c>
      <c r="I157" s="8" t="s">
        <v>215</v>
      </c>
      <c r="J157" t="s">
        <v>187</v>
      </c>
    </row>
    <row r="158" spans="1:10" x14ac:dyDescent="0.2">
      <c r="A158" t="s">
        <v>220</v>
      </c>
      <c r="B158" s="8">
        <v>1</v>
      </c>
      <c r="C158" s="8">
        <v>1</v>
      </c>
      <c r="D158" s="8">
        <v>1</v>
      </c>
      <c r="E158" s="8">
        <v>1</v>
      </c>
      <c r="F158" t="s">
        <v>219</v>
      </c>
      <c r="G158" t="s">
        <v>24</v>
      </c>
      <c r="H158" t="s">
        <v>216</v>
      </c>
      <c r="I158" s="8" t="s">
        <v>215</v>
      </c>
      <c r="J158" t="s">
        <v>188</v>
      </c>
    </row>
    <row r="159" spans="1:10" x14ac:dyDescent="0.2">
      <c r="A159" t="s">
        <v>218</v>
      </c>
      <c r="B159" s="8">
        <v>1</v>
      </c>
      <c r="C159" s="8">
        <v>1</v>
      </c>
      <c r="D159" s="8">
        <v>1</v>
      </c>
      <c r="E159" s="8">
        <v>1</v>
      </c>
      <c r="F159" t="s">
        <v>217</v>
      </c>
      <c r="G159" t="s">
        <v>46</v>
      </c>
      <c r="H159" t="s">
        <v>216</v>
      </c>
      <c r="I159" s="8" t="s">
        <v>215</v>
      </c>
      <c r="J159" t="s">
        <v>194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7996874-569D-D44B-8C36-72FF3CBBB071}">
  <dimension ref="A1:Q150"/>
  <sheetViews>
    <sheetView workbookViewId="0">
      <pane ySplit="5600" topLeftCell="A125"/>
      <selection activeCell="B5" sqref="B5"/>
      <selection pane="bottomLeft" activeCell="J135" sqref="J135"/>
    </sheetView>
  </sheetViews>
  <sheetFormatPr baseColWidth="10" defaultRowHeight="16" x14ac:dyDescent="0.2"/>
  <cols>
    <col min="1" max="1" width="36.5" style="11" bestFit="1" customWidth="1"/>
    <col min="2" max="2" width="20.6640625" style="16" customWidth="1"/>
    <col min="3" max="3" width="16.1640625" style="16" customWidth="1"/>
    <col min="4" max="4" width="17.1640625" customWidth="1"/>
    <col min="16" max="16" width="19.33203125" customWidth="1"/>
    <col min="17" max="17" width="9.83203125" customWidth="1"/>
  </cols>
  <sheetData>
    <row r="1" spans="1:17" ht="34" x14ac:dyDescent="0.2">
      <c r="A1" s="13" t="s">
        <v>55</v>
      </c>
      <c r="B1" s="21" t="s">
        <v>1</v>
      </c>
      <c r="C1" s="21" t="s">
        <v>0</v>
      </c>
      <c r="D1" s="8" t="s">
        <v>56</v>
      </c>
      <c r="E1" s="14" t="s">
        <v>209</v>
      </c>
      <c r="F1" s="14" t="s">
        <v>210</v>
      </c>
      <c r="G1" s="14" t="s">
        <v>208</v>
      </c>
      <c r="H1" s="14" t="s">
        <v>211</v>
      </c>
      <c r="I1" s="14" t="s">
        <v>212</v>
      </c>
      <c r="J1" s="14" t="s">
        <v>213</v>
      </c>
      <c r="K1" s="14" t="s">
        <v>214</v>
      </c>
      <c r="L1" s="14" t="s">
        <v>57</v>
      </c>
      <c r="M1" s="14" t="s">
        <v>215</v>
      </c>
    </row>
    <row r="2" spans="1:17" x14ac:dyDescent="0.2">
      <c r="A2" s="12" t="s">
        <v>58</v>
      </c>
      <c r="B2" s="18" t="s">
        <v>18</v>
      </c>
      <c r="C2" s="18" t="s">
        <v>15</v>
      </c>
      <c r="D2" s="8">
        <v>3</v>
      </c>
      <c r="E2" s="8">
        <v>3</v>
      </c>
      <c r="F2" s="8">
        <v>0</v>
      </c>
      <c r="G2" s="8">
        <v>0</v>
      </c>
      <c r="H2" s="8">
        <v>0</v>
      </c>
      <c r="I2" s="8">
        <v>0</v>
      </c>
      <c r="J2" s="8">
        <v>0</v>
      </c>
      <c r="K2" s="8">
        <v>0</v>
      </c>
      <c r="L2" s="8">
        <v>0</v>
      </c>
      <c r="M2" s="8">
        <v>0</v>
      </c>
      <c r="N2" s="8">
        <v>1</v>
      </c>
      <c r="P2" s="8" t="s">
        <v>209</v>
      </c>
      <c r="Q2" s="8">
        <v>55</v>
      </c>
    </row>
    <row r="3" spans="1:17" x14ac:dyDescent="0.2">
      <c r="A3" s="12" t="s">
        <v>59</v>
      </c>
      <c r="B3" s="18" t="s">
        <v>35</v>
      </c>
      <c r="C3" s="18" t="s">
        <v>33</v>
      </c>
      <c r="D3" s="8">
        <v>1</v>
      </c>
      <c r="E3" s="8">
        <v>0</v>
      </c>
      <c r="F3" s="8">
        <v>0</v>
      </c>
      <c r="G3" s="8">
        <v>0</v>
      </c>
      <c r="H3" s="8">
        <v>0</v>
      </c>
      <c r="I3" s="8">
        <v>0</v>
      </c>
      <c r="J3" s="8">
        <v>0</v>
      </c>
      <c r="K3" s="8">
        <v>0</v>
      </c>
      <c r="L3" s="8">
        <v>1</v>
      </c>
      <c r="M3" s="8">
        <v>0</v>
      </c>
      <c r="N3" s="8">
        <v>1</v>
      </c>
      <c r="P3" s="8" t="s">
        <v>210</v>
      </c>
      <c r="Q3" s="8">
        <v>8</v>
      </c>
    </row>
    <row r="4" spans="1:17" x14ac:dyDescent="0.2">
      <c r="A4" s="12" t="s">
        <v>60</v>
      </c>
      <c r="B4" s="18" t="s">
        <v>24</v>
      </c>
      <c r="C4" s="18" t="s">
        <v>22</v>
      </c>
      <c r="D4" s="8">
        <v>2</v>
      </c>
      <c r="E4" s="8">
        <v>2</v>
      </c>
      <c r="F4" s="8">
        <v>0</v>
      </c>
      <c r="G4" s="8">
        <v>0</v>
      </c>
      <c r="H4" s="8">
        <v>0</v>
      </c>
      <c r="I4" s="8">
        <v>0</v>
      </c>
      <c r="J4" s="8">
        <v>0</v>
      </c>
      <c r="K4" s="8">
        <v>0</v>
      </c>
      <c r="L4" s="8">
        <v>0</v>
      </c>
      <c r="M4" s="8">
        <v>0</v>
      </c>
      <c r="N4" s="8">
        <v>1</v>
      </c>
      <c r="P4" s="8" t="s">
        <v>208</v>
      </c>
      <c r="Q4" s="8">
        <v>33</v>
      </c>
    </row>
    <row r="5" spans="1:17" x14ac:dyDescent="0.2">
      <c r="A5" s="12" t="s">
        <v>61</v>
      </c>
      <c r="B5" s="18" t="s">
        <v>24</v>
      </c>
      <c r="C5" s="18" t="s">
        <v>22</v>
      </c>
      <c r="D5" s="8">
        <v>0</v>
      </c>
      <c r="E5" s="8">
        <v>0</v>
      </c>
      <c r="F5" s="8">
        <v>0</v>
      </c>
      <c r="G5" s="8">
        <v>0</v>
      </c>
      <c r="H5" s="8">
        <v>0</v>
      </c>
      <c r="I5" s="8">
        <v>0</v>
      </c>
      <c r="J5" s="8">
        <v>0</v>
      </c>
      <c r="K5" s="8">
        <v>0</v>
      </c>
      <c r="L5" s="8">
        <v>0</v>
      </c>
      <c r="M5" s="8">
        <v>0</v>
      </c>
      <c r="N5" s="8">
        <v>0</v>
      </c>
      <c r="P5" s="8" t="s">
        <v>211</v>
      </c>
      <c r="Q5" s="8">
        <v>1</v>
      </c>
    </row>
    <row r="6" spans="1:17" x14ac:dyDescent="0.2">
      <c r="A6" s="12" t="s">
        <v>62</v>
      </c>
      <c r="B6" s="18" t="s">
        <v>13</v>
      </c>
      <c r="C6" s="18" t="s">
        <v>10</v>
      </c>
      <c r="D6" s="8">
        <v>0</v>
      </c>
      <c r="E6" s="8">
        <v>0</v>
      </c>
      <c r="F6" s="8">
        <v>0</v>
      </c>
      <c r="G6" s="8">
        <v>0</v>
      </c>
      <c r="H6" s="8">
        <v>0</v>
      </c>
      <c r="I6" s="8">
        <v>0</v>
      </c>
      <c r="J6" s="8">
        <v>0</v>
      </c>
      <c r="K6" s="8">
        <v>0</v>
      </c>
      <c r="L6" s="8">
        <v>0</v>
      </c>
      <c r="M6" s="8">
        <v>0</v>
      </c>
      <c r="N6" s="8">
        <v>0</v>
      </c>
      <c r="P6" s="8" t="s">
        <v>212</v>
      </c>
      <c r="Q6" s="8">
        <v>8</v>
      </c>
    </row>
    <row r="7" spans="1:17" x14ac:dyDescent="0.2">
      <c r="A7" s="12" t="s">
        <v>63</v>
      </c>
      <c r="B7" s="18" t="s">
        <v>42</v>
      </c>
      <c r="C7" s="18" t="s">
        <v>33</v>
      </c>
      <c r="D7" s="8">
        <v>2</v>
      </c>
      <c r="E7" s="8">
        <v>0</v>
      </c>
      <c r="F7" s="8">
        <v>0</v>
      </c>
      <c r="G7" s="8">
        <v>0</v>
      </c>
      <c r="H7" s="8">
        <v>0</v>
      </c>
      <c r="I7" s="8">
        <v>0</v>
      </c>
      <c r="J7" s="8">
        <v>0</v>
      </c>
      <c r="K7" s="8">
        <v>2</v>
      </c>
      <c r="L7" s="8">
        <v>0</v>
      </c>
      <c r="M7" s="8">
        <v>0</v>
      </c>
      <c r="N7" s="8">
        <v>1</v>
      </c>
      <c r="P7" s="8" t="s">
        <v>213</v>
      </c>
      <c r="Q7" s="8">
        <v>15</v>
      </c>
    </row>
    <row r="8" spans="1:17" x14ac:dyDescent="0.2">
      <c r="A8" s="12" t="s">
        <v>64</v>
      </c>
      <c r="B8" s="18" t="s">
        <v>42</v>
      </c>
      <c r="C8" s="18" t="s">
        <v>33</v>
      </c>
      <c r="D8" s="8">
        <v>0</v>
      </c>
      <c r="E8" s="8">
        <v>0</v>
      </c>
      <c r="F8" s="8">
        <v>0</v>
      </c>
      <c r="G8" s="8">
        <v>0</v>
      </c>
      <c r="H8" s="8">
        <v>0</v>
      </c>
      <c r="I8" s="8">
        <v>0</v>
      </c>
      <c r="J8" s="8">
        <v>0</v>
      </c>
      <c r="K8" s="8">
        <v>0</v>
      </c>
      <c r="L8" s="8">
        <v>0</v>
      </c>
      <c r="M8" s="8">
        <v>0</v>
      </c>
      <c r="N8" s="8">
        <v>0</v>
      </c>
      <c r="P8" s="8" t="s">
        <v>214</v>
      </c>
      <c r="Q8" s="8">
        <v>11</v>
      </c>
    </row>
    <row r="9" spans="1:17" x14ac:dyDescent="0.2">
      <c r="A9" s="12" t="s">
        <v>65</v>
      </c>
      <c r="B9" s="18" t="s">
        <v>27</v>
      </c>
      <c r="C9" s="18" t="s">
        <v>25</v>
      </c>
      <c r="D9" s="8">
        <v>0</v>
      </c>
      <c r="E9" s="8">
        <v>0</v>
      </c>
      <c r="F9" s="8">
        <v>0</v>
      </c>
      <c r="G9" s="8">
        <v>0</v>
      </c>
      <c r="H9" s="8">
        <v>0</v>
      </c>
      <c r="I9" s="8">
        <v>0</v>
      </c>
      <c r="J9" s="8">
        <v>0</v>
      </c>
      <c r="K9" s="8">
        <v>0</v>
      </c>
      <c r="L9" s="8">
        <v>0</v>
      </c>
      <c r="M9" s="8">
        <v>0</v>
      </c>
      <c r="N9" s="8">
        <v>0</v>
      </c>
      <c r="P9" s="8" t="s">
        <v>57</v>
      </c>
      <c r="Q9" s="8">
        <v>2</v>
      </c>
    </row>
    <row r="10" spans="1:17" x14ac:dyDescent="0.2">
      <c r="A10" s="12" t="s">
        <v>66</v>
      </c>
      <c r="B10" s="18" t="s">
        <v>38</v>
      </c>
      <c r="C10" s="18" t="s">
        <v>33</v>
      </c>
      <c r="D10" s="8">
        <v>1</v>
      </c>
      <c r="E10" s="8">
        <v>0</v>
      </c>
      <c r="F10" s="8">
        <v>0</v>
      </c>
      <c r="G10" s="8">
        <v>0</v>
      </c>
      <c r="H10" s="8">
        <v>0</v>
      </c>
      <c r="I10" s="8">
        <v>0</v>
      </c>
      <c r="J10" s="8">
        <v>0</v>
      </c>
      <c r="K10" s="8">
        <v>0</v>
      </c>
      <c r="L10" s="8">
        <v>0</v>
      </c>
      <c r="M10" s="8">
        <v>1</v>
      </c>
      <c r="N10" s="8">
        <v>1</v>
      </c>
      <c r="P10" s="8" t="s">
        <v>215</v>
      </c>
      <c r="Q10" s="8">
        <v>25</v>
      </c>
    </row>
    <row r="11" spans="1:17" x14ac:dyDescent="0.2">
      <c r="A11" s="12" t="s">
        <v>67</v>
      </c>
      <c r="B11" s="18" t="s">
        <v>43</v>
      </c>
      <c r="C11" s="18" t="s">
        <v>33</v>
      </c>
      <c r="D11" s="8">
        <v>3</v>
      </c>
      <c r="E11" s="8">
        <v>0</v>
      </c>
      <c r="F11" s="8">
        <v>0</v>
      </c>
      <c r="G11" s="8">
        <v>3</v>
      </c>
      <c r="H11" s="8">
        <v>0</v>
      </c>
      <c r="I11" s="8">
        <v>0</v>
      </c>
      <c r="J11" s="8">
        <v>0</v>
      </c>
      <c r="K11" s="8">
        <v>0</v>
      </c>
      <c r="L11" s="8">
        <v>0</v>
      </c>
      <c r="M11" s="8">
        <v>0</v>
      </c>
      <c r="N11" s="8">
        <v>1</v>
      </c>
    </row>
    <row r="12" spans="1:17" x14ac:dyDescent="0.2">
      <c r="A12" s="12" t="s">
        <v>68</v>
      </c>
      <c r="B12" s="18" t="s">
        <v>31</v>
      </c>
      <c r="C12" s="18" t="s">
        <v>29</v>
      </c>
      <c r="D12" s="8">
        <v>3</v>
      </c>
      <c r="E12" s="8">
        <v>0</v>
      </c>
      <c r="F12" s="8">
        <v>0</v>
      </c>
      <c r="G12" s="8">
        <v>0</v>
      </c>
      <c r="H12" s="8">
        <v>0</v>
      </c>
      <c r="I12" s="8">
        <v>0</v>
      </c>
      <c r="J12" s="8">
        <v>0</v>
      </c>
      <c r="K12" s="8">
        <v>3</v>
      </c>
      <c r="L12" s="8">
        <v>0</v>
      </c>
      <c r="M12" s="8">
        <v>0</v>
      </c>
      <c r="N12" s="8">
        <v>1</v>
      </c>
    </row>
    <row r="13" spans="1:17" x14ac:dyDescent="0.2">
      <c r="A13" s="12" t="s">
        <v>69</v>
      </c>
      <c r="B13" s="18" t="s">
        <v>13</v>
      </c>
      <c r="C13" s="18" t="s">
        <v>10</v>
      </c>
      <c r="D13" s="8">
        <v>0</v>
      </c>
      <c r="E13" s="8">
        <v>0</v>
      </c>
      <c r="F13" s="8">
        <v>0</v>
      </c>
      <c r="G13" s="8">
        <v>0</v>
      </c>
      <c r="H13" s="8">
        <v>0</v>
      </c>
      <c r="I13" s="8">
        <v>0</v>
      </c>
      <c r="J13" s="8">
        <v>0</v>
      </c>
      <c r="K13" s="8">
        <v>0</v>
      </c>
      <c r="L13" s="8">
        <v>0</v>
      </c>
      <c r="M13" s="8">
        <v>0</v>
      </c>
      <c r="N13" s="8">
        <v>0</v>
      </c>
    </row>
    <row r="14" spans="1:17" x14ac:dyDescent="0.2">
      <c r="A14" s="12" t="s">
        <v>70</v>
      </c>
      <c r="B14" s="18" t="s">
        <v>39</v>
      </c>
      <c r="C14" s="18" t="s">
        <v>33</v>
      </c>
      <c r="D14" s="8">
        <v>1</v>
      </c>
      <c r="E14" s="8">
        <v>0</v>
      </c>
      <c r="F14" s="8">
        <v>0</v>
      </c>
      <c r="G14" s="8">
        <v>0</v>
      </c>
      <c r="H14" s="8">
        <v>0</v>
      </c>
      <c r="I14" s="8">
        <v>0</v>
      </c>
      <c r="J14" s="8">
        <v>0</v>
      </c>
      <c r="K14" s="8">
        <v>1</v>
      </c>
      <c r="L14" s="8">
        <v>0</v>
      </c>
      <c r="M14" s="8">
        <v>0</v>
      </c>
      <c r="N14" s="8">
        <v>1</v>
      </c>
    </row>
    <row r="15" spans="1:17" x14ac:dyDescent="0.2">
      <c r="A15" s="12" t="s">
        <v>71</v>
      </c>
      <c r="B15" s="18" t="s">
        <v>39</v>
      </c>
      <c r="C15" s="18" t="s">
        <v>33</v>
      </c>
      <c r="D15" s="8">
        <v>1</v>
      </c>
      <c r="E15" s="8">
        <v>0</v>
      </c>
      <c r="F15" s="8">
        <v>1</v>
      </c>
      <c r="G15" s="8">
        <v>0</v>
      </c>
      <c r="H15" s="8">
        <v>0</v>
      </c>
      <c r="I15" s="8">
        <v>0</v>
      </c>
      <c r="J15" s="8">
        <v>0</v>
      </c>
      <c r="K15" s="8">
        <v>0</v>
      </c>
      <c r="L15" s="8">
        <v>0</v>
      </c>
      <c r="M15" s="8">
        <v>0</v>
      </c>
      <c r="N15" s="8">
        <v>1</v>
      </c>
    </row>
    <row r="16" spans="1:17" x14ac:dyDescent="0.2">
      <c r="A16" s="12" t="s">
        <v>72</v>
      </c>
      <c r="B16" s="18" t="s">
        <v>24</v>
      </c>
      <c r="C16" s="18" t="s">
        <v>22</v>
      </c>
      <c r="D16" s="8">
        <v>0</v>
      </c>
      <c r="E16" s="8">
        <v>0</v>
      </c>
      <c r="F16" s="8">
        <v>0</v>
      </c>
      <c r="G16" s="8">
        <v>0</v>
      </c>
      <c r="H16" s="8">
        <v>0</v>
      </c>
      <c r="I16" s="8">
        <v>0</v>
      </c>
      <c r="J16" s="8">
        <v>0</v>
      </c>
      <c r="K16" s="8">
        <v>0</v>
      </c>
      <c r="L16" s="8">
        <v>0</v>
      </c>
      <c r="M16" s="8">
        <v>0</v>
      </c>
      <c r="N16" s="8">
        <v>0</v>
      </c>
    </row>
    <row r="17" spans="1:14" x14ac:dyDescent="0.2">
      <c r="A17" s="12" t="s">
        <v>73</v>
      </c>
      <c r="B17" s="18" t="s">
        <v>37</v>
      </c>
      <c r="C17" s="18" t="s">
        <v>33</v>
      </c>
      <c r="D17" s="8">
        <v>2</v>
      </c>
      <c r="E17" s="8">
        <v>1</v>
      </c>
      <c r="F17" s="8">
        <v>1</v>
      </c>
      <c r="G17" s="8">
        <v>0</v>
      </c>
      <c r="H17" s="8">
        <v>0</v>
      </c>
      <c r="I17" s="8">
        <v>0</v>
      </c>
      <c r="J17" s="8">
        <v>0</v>
      </c>
      <c r="K17" s="8">
        <v>0</v>
      </c>
      <c r="L17" s="8">
        <v>0</v>
      </c>
      <c r="M17" s="8">
        <v>0</v>
      </c>
      <c r="N17" s="8">
        <v>1</v>
      </c>
    </row>
    <row r="18" spans="1:14" x14ac:dyDescent="0.2">
      <c r="A18" s="12" t="s">
        <v>74</v>
      </c>
      <c r="B18" s="18" t="s">
        <v>45</v>
      </c>
      <c r="C18" s="18" t="s">
        <v>33</v>
      </c>
      <c r="D18" s="8">
        <v>1</v>
      </c>
      <c r="E18" s="8">
        <v>0</v>
      </c>
      <c r="F18" s="8">
        <v>0</v>
      </c>
      <c r="G18" s="8">
        <v>0</v>
      </c>
      <c r="H18" s="8">
        <v>0</v>
      </c>
      <c r="I18" s="8">
        <v>0</v>
      </c>
      <c r="J18" s="8">
        <v>0</v>
      </c>
      <c r="K18" s="8">
        <v>0</v>
      </c>
      <c r="L18" s="8">
        <v>0</v>
      </c>
      <c r="M18" s="8">
        <v>1</v>
      </c>
      <c r="N18" s="8">
        <v>1</v>
      </c>
    </row>
    <row r="19" spans="1:14" x14ac:dyDescent="0.2">
      <c r="A19" s="12" t="s">
        <v>75</v>
      </c>
      <c r="B19" s="18" t="s">
        <v>13</v>
      </c>
      <c r="C19" s="18" t="s">
        <v>10</v>
      </c>
      <c r="D19" s="8">
        <v>0</v>
      </c>
      <c r="E19" s="8">
        <v>0</v>
      </c>
      <c r="F19" s="8">
        <v>0</v>
      </c>
      <c r="G19" s="8">
        <v>0</v>
      </c>
      <c r="H19" s="8">
        <v>0</v>
      </c>
      <c r="I19" s="8">
        <v>0</v>
      </c>
      <c r="J19" s="8">
        <v>0</v>
      </c>
      <c r="K19" s="8">
        <v>0</v>
      </c>
      <c r="L19" s="8">
        <v>0</v>
      </c>
      <c r="M19" s="8">
        <v>0</v>
      </c>
      <c r="N19" s="8">
        <v>0</v>
      </c>
    </row>
    <row r="20" spans="1:14" x14ac:dyDescent="0.2">
      <c r="A20" s="12" t="s">
        <v>76</v>
      </c>
      <c r="B20" s="18" t="s">
        <v>27</v>
      </c>
      <c r="C20" s="18" t="s">
        <v>25</v>
      </c>
      <c r="D20" s="8">
        <v>0</v>
      </c>
      <c r="E20" s="8">
        <v>0</v>
      </c>
      <c r="F20" s="8">
        <v>0</v>
      </c>
      <c r="G20" s="8">
        <v>0</v>
      </c>
      <c r="H20" s="8">
        <v>0</v>
      </c>
      <c r="I20" s="8">
        <v>0</v>
      </c>
      <c r="J20" s="8">
        <v>0</v>
      </c>
      <c r="K20" s="8">
        <v>0</v>
      </c>
      <c r="L20" s="8">
        <v>0</v>
      </c>
      <c r="M20" s="8">
        <v>0</v>
      </c>
      <c r="N20" s="8">
        <v>0</v>
      </c>
    </row>
    <row r="21" spans="1:14" x14ac:dyDescent="0.2">
      <c r="A21" s="12" t="s">
        <v>77</v>
      </c>
      <c r="B21" s="18" t="s">
        <v>14</v>
      </c>
      <c r="C21" s="18" t="s">
        <v>10</v>
      </c>
      <c r="D21" s="8">
        <v>1</v>
      </c>
      <c r="E21" s="8">
        <v>0</v>
      </c>
      <c r="F21" s="8">
        <v>0</v>
      </c>
      <c r="G21" s="8">
        <v>0</v>
      </c>
      <c r="H21" s="8">
        <v>0</v>
      </c>
      <c r="I21" s="8">
        <v>0</v>
      </c>
      <c r="J21" s="8">
        <v>1</v>
      </c>
      <c r="K21" s="8">
        <v>0</v>
      </c>
      <c r="L21" s="8">
        <v>0</v>
      </c>
      <c r="M21" s="8">
        <v>0</v>
      </c>
      <c r="N21" s="8">
        <v>1</v>
      </c>
    </row>
    <row r="22" spans="1:14" x14ac:dyDescent="0.2">
      <c r="A22" s="12" t="s">
        <v>78</v>
      </c>
      <c r="B22" s="18" t="s">
        <v>13</v>
      </c>
      <c r="C22" s="18" t="s">
        <v>10</v>
      </c>
      <c r="D22" s="8">
        <v>0</v>
      </c>
      <c r="E22" s="8">
        <v>0</v>
      </c>
      <c r="F22" s="8">
        <v>0</v>
      </c>
      <c r="G22" s="8">
        <v>0</v>
      </c>
      <c r="H22" s="8">
        <v>0</v>
      </c>
      <c r="I22" s="8">
        <v>0</v>
      </c>
      <c r="J22" s="8">
        <v>0</v>
      </c>
      <c r="K22" s="8">
        <v>0</v>
      </c>
      <c r="L22" s="8">
        <v>0</v>
      </c>
      <c r="M22" s="8">
        <v>0</v>
      </c>
      <c r="N22" s="8">
        <v>0</v>
      </c>
    </row>
    <row r="23" spans="1:14" x14ac:dyDescent="0.2">
      <c r="A23" s="12" t="s">
        <v>79</v>
      </c>
      <c r="B23" s="18" t="s">
        <v>14</v>
      </c>
      <c r="C23" s="18" t="s">
        <v>10</v>
      </c>
      <c r="D23" s="8">
        <v>13</v>
      </c>
      <c r="E23" s="8">
        <v>0</v>
      </c>
      <c r="F23" s="8">
        <v>0</v>
      </c>
      <c r="G23" s="8">
        <v>0</v>
      </c>
      <c r="H23" s="8">
        <v>0</v>
      </c>
      <c r="I23" s="8">
        <v>0</v>
      </c>
      <c r="J23" s="8">
        <v>13</v>
      </c>
      <c r="K23" s="8">
        <v>0</v>
      </c>
      <c r="L23" s="8">
        <v>0</v>
      </c>
      <c r="M23" s="8">
        <v>0</v>
      </c>
      <c r="N23" s="8">
        <v>1</v>
      </c>
    </row>
    <row r="24" spans="1:14" x14ac:dyDescent="0.2">
      <c r="A24" s="12" t="s">
        <v>80</v>
      </c>
      <c r="B24" s="18" t="s">
        <v>45</v>
      </c>
      <c r="C24" s="18" t="s">
        <v>33</v>
      </c>
      <c r="D24" s="8">
        <v>0</v>
      </c>
      <c r="E24" s="8">
        <v>0</v>
      </c>
      <c r="F24" s="8">
        <v>0</v>
      </c>
      <c r="G24" s="8">
        <v>0</v>
      </c>
      <c r="H24" s="8">
        <v>0</v>
      </c>
      <c r="I24" s="8">
        <v>0</v>
      </c>
      <c r="J24" s="8">
        <v>0</v>
      </c>
      <c r="K24" s="8">
        <v>0</v>
      </c>
      <c r="L24" s="8">
        <v>0</v>
      </c>
      <c r="M24" s="8">
        <v>0</v>
      </c>
      <c r="N24" s="8">
        <v>0</v>
      </c>
    </row>
    <row r="25" spans="1:14" x14ac:dyDescent="0.2">
      <c r="A25" s="12" t="s">
        <v>81</v>
      </c>
      <c r="B25" s="18" t="s">
        <v>45</v>
      </c>
      <c r="C25" s="18" t="s">
        <v>33</v>
      </c>
      <c r="D25" s="8">
        <v>1</v>
      </c>
      <c r="E25" s="8">
        <v>0</v>
      </c>
      <c r="F25" s="8">
        <v>0</v>
      </c>
      <c r="G25" s="8">
        <v>0</v>
      </c>
      <c r="H25" s="8">
        <v>0</v>
      </c>
      <c r="I25" s="8">
        <v>1</v>
      </c>
      <c r="J25" s="8">
        <v>0</v>
      </c>
      <c r="K25" s="8">
        <v>0</v>
      </c>
      <c r="L25" s="8">
        <v>0</v>
      </c>
      <c r="M25" s="8">
        <v>0</v>
      </c>
      <c r="N25" s="8">
        <v>1</v>
      </c>
    </row>
    <row r="26" spans="1:14" x14ac:dyDescent="0.2">
      <c r="A26" s="12" t="s">
        <v>82</v>
      </c>
      <c r="B26" s="18" t="s">
        <v>37</v>
      </c>
      <c r="C26" s="18" t="s">
        <v>33</v>
      </c>
      <c r="D26" s="8">
        <v>0</v>
      </c>
      <c r="E26" s="8">
        <v>0</v>
      </c>
      <c r="F26" s="8">
        <v>0</v>
      </c>
      <c r="G26" s="8">
        <v>0</v>
      </c>
      <c r="H26" s="8">
        <v>0</v>
      </c>
      <c r="I26" s="8">
        <v>0</v>
      </c>
      <c r="J26" s="8">
        <v>0</v>
      </c>
      <c r="K26" s="8">
        <v>0</v>
      </c>
      <c r="L26" s="8">
        <v>0</v>
      </c>
      <c r="M26" s="8">
        <v>0</v>
      </c>
      <c r="N26" s="8">
        <v>0</v>
      </c>
    </row>
    <row r="27" spans="1:14" x14ac:dyDescent="0.2">
      <c r="A27" s="12" t="s">
        <v>83</v>
      </c>
      <c r="B27" s="18" t="s">
        <v>39</v>
      </c>
      <c r="C27" s="18" t="s">
        <v>33</v>
      </c>
      <c r="D27" s="8">
        <v>4</v>
      </c>
      <c r="E27" s="8">
        <v>1</v>
      </c>
      <c r="F27" s="8">
        <v>0</v>
      </c>
      <c r="G27" s="8">
        <v>0</v>
      </c>
      <c r="H27" s="8">
        <v>0</v>
      </c>
      <c r="I27" s="8">
        <v>0</v>
      </c>
      <c r="J27" s="8">
        <v>0</v>
      </c>
      <c r="K27" s="8">
        <v>3</v>
      </c>
      <c r="L27" s="8">
        <v>0</v>
      </c>
      <c r="M27" s="8">
        <v>0</v>
      </c>
      <c r="N27" s="8">
        <v>1</v>
      </c>
    </row>
    <row r="28" spans="1:14" x14ac:dyDescent="0.2">
      <c r="A28" s="12" t="s">
        <v>84</v>
      </c>
      <c r="B28" s="18" t="s">
        <v>37</v>
      </c>
      <c r="C28" s="18" t="s">
        <v>33</v>
      </c>
      <c r="D28" s="8">
        <v>1</v>
      </c>
      <c r="E28" s="8">
        <v>0</v>
      </c>
      <c r="F28" s="8">
        <v>0</v>
      </c>
      <c r="G28" s="8">
        <v>0</v>
      </c>
      <c r="H28" s="8">
        <v>0</v>
      </c>
      <c r="I28" s="8">
        <v>1</v>
      </c>
      <c r="J28" s="8">
        <v>0</v>
      </c>
      <c r="K28" s="8">
        <v>0</v>
      </c>
      <c r="L28" s="8">
        <v>0</v>
      </c>
      <c r="M28" s="8">
        <v>0</v>
      </c>
      <c r="N28" s="8">
        <v>1</v>
      </c>
    </row>
    <row r="29" spans="1:14" x14ac:dyDescent="0.2">
      <c r="A29" s="12" t="s">
        <v>85</v>
      </c>
      <c r="B29" s="18" t="s">
        <v>18</v>
      </c>
      <c r="C29" s="18" t="s">
        <v>15</v>
      </c>
      <c r="D29" s="8">
        <v>3</v>
      </c>
      <c r="E29" s="8">
        <v>3</v>
      </c>
      <c r="F29" s="8">
        <v>0</v>
      </c>
      <c r="G29" s="8">
        <v>0</v>
      </c>
      <c r="H29" s="8">
        <v>0</v>
      </c>
      <c r="I29" s="8">
        <v>0</v>
      </c>
      <c r="J29" s="8">
        <v>0</v>
      </c>
      <c r="K29" s="8">
        <v>0</v>
      </c>
      <c r="L29" s="8">
        <v>0</v>
      </c>
      <c r="M29" s="8">
        <v>0</v>
      </c>
      <c r="N29" s="8">
        <v>1</v>
      </c>
    </row>
    <row r="30" spans="1:14" x14ac:dyDescent="0.2">
      <c r="A30" s="12" t="s">
        <v>86</v>
      </c>
      <c r="B30" s="18" t="s">
        <v>35</v>
      </c>
      <c r="C30" s="18" t="s">
        <v>33</v>
      </c>
      <c r="D30" s="8">
        <v>0</v>
      </c>
      <c r="E30" s="8">
        <v>0</v>
      </c>
      <c r="F30" s="8">
        <v>0</v>
      </c>
      <c r="G30" s="8">
        <v>0</v>
      </c>
      <c r="H30" s="8">
        <v>0</v>
      </c>
      <c r="I30" s="8">
        <v>0</v>
      </c>
      <c r="J30" s="8">
        <v>0</v>
      </c>
      <c r="K30" s="8">
        <v>0</v>
      </c>
      <c r="L30" s="8">
        <v>0</v>
      </c>
      <c r="M30" s="8">
        <v>0</v>
      </c>
      <c r="N30" s="8">
        <v>0</v>
      </c>
    </row>
    <row r="31" spans="1:14" x14ac:dyDescent="0.2">
      <c r="A31" s="12" t="s">
        <v>87</v>
      </c>
      <c r="B31" s="18" t="s">
        <v>18</v>
      </c>
      <c r="C31" s="18" t="s">
        <v>15</v>
      </c>
      <c r="D31" s="8">
        <v>0</v>
      </c>
      <c r="E31" s="8">
        <v>0</v>
      </c>
      <c r="F31" s="8">
        <v>0</v>
      </c>
      <c r="G31" s="8">
        <v>0</v>
      </c>
      <c r="H31" s="8">
        <v>0</v>
      </c>
      <c r="I31" s="8">
        <v>0</v>
      </c>
      <c r="J31" s="8">
        <v>0</v>
      </c>
      <c r="K31" s="8">
        <v>0</v>
      </c>
      <c r="L31" s="8">
        <v>0</v>
      </c>
      <c r="M31" s="8">
        <v>0</v>
      </c>
      <c r="N31" s="8">
        <v>0</v>
      </c>
    </row>
    <row r="32" spans="1:14" x14ac:dyDescent="0.2">
      <c r="A32" s="12" t="s">
        <v>88</v>
      </c>
      <c r="B32" s="18" t="s">
        <v>35</v>
      </c>
      <c r="C32" s="18" t="s">
        <v>33</v>
      </c>
      <c r="D32" s="8">
        <v>0</v>
      </c>
      <c r="E32" s="8">
        <v>0</v>
      </c>
      <c r="F32" s="8">
        <v>0</v>
      </c>
      <c r="G32" s="8">
        <v>0</v>
      </c>
      <c r="H32" s="8">
        <v>0</v>
      </c>
      <c r="I32" s="8">
        <v>0</v>
      </c>
      <c r="J32" s="8">
        <v>0</v>
      </c>
      <c r="K32" s="8">
        <v>0</v>
      </c>
      <c r="L32" s="8">
        <v>0</v>
      </c>
      <c r="M32" s="8">
        <v>0</v>
      </c>
      <c r="N32" s="8">
        <v>0</v>
      </c>
    </row>
    <row r="33" spans="1:14" x14ac:dyDescent="0.2">
      <c r="A33" s="12" t="s">
        <v>89</v>
      </c>
      <c r="B33" s="18" t="s">
        <v>14</v>
      </c>
      <c r="C33" s="18" t="s">
        <v>10</v>
      </c>
      <c r="D33" s="8">
        <v>2</v>
      </c>
      <c r="E33" s="8">
        <v>0</v>
      </c>
      <c r="F33" s="8">
        <v>1</v>
      </c>
      <c r="G33" s="8">
        <v>0</v>
      </c>
      <c r="H33" s="8">
        <v>0</v>
      </c>
      <c r="I33" s="8">
        <v>0</v>
      </c>
      <c r="J33" s="8">
        <v>1</v>
      </c>
      <c r="K33" s="8">
        <v>0</v>
      </c>
      <c r="L33" s="8">
        <v>0</v>
      </c>
      <c r="M33" s="8">
        <v>0</v>
      </c>
      <c r="N33" s="8">
        <v>1</v>
      </c>
    </row>
    <row r="34" spans="1:14" x14ac:dyDescent="0.2">
      <c r="A34" s="12" t="s">
        <v>90</v>
      </c>
      <c r="B34" s="18" t="s">
        <v>14</v>
      </c>
      <c r="C34" s="18" t="s">
        <v>10</v>
      </c>
      <c r="D34" s="8">
        <v>0</v>
      </c>
      <c r="E34" s="8">
        <v>0</v>
      </c>
      <c r="F34" s="8">
        <v>0</v>
      </c>
      <c r="G34" s="8">
        <v>0</v>
      </c>
      <c r="H34" s="8">
        <v>0</v>
      </c>
      <c r="I34" s="8">
        <v>0</v>
      </c>
      <c r="J34" s="8">
        <v>0</v>
      </c>
      <c r="K34" s="8">
        <v>0</v>
      </c>
      <c r="L34" s="8">
        <v>0</v>
      </c>
      <c r="M34" s="8">
        <v>0</v>
      </c>
      <c r="N34" s="8">
        <v>0</v>
      </c>
    </row>
    <row r="35" spans="1:14" x14ac:dyDescent="0.2">
      <c r="A35" s="12" t="s">
        <v>91</v>
      </c>
      <c r="B35" s="18" t="s">
        <v>14</v>
      </c>
      <c r="C35" s="18" t="s">
        <v>10</v>
      </c>
      <c r="D35" s="8">
        <v>1</v>
      </c>
      <c r="E35" s="8">
        <v>0</v>
      </c>
      <c r="F35" s="8">
        <v>1</v>
      </c>
      <c r="G35" s="8">
        <v>0</v>
      </c>
      <c r="H35" s="8">
        <v>0</v>
      </c>
      <c r="I35" s="8">
        <v>0</v>
      </c>
      <c r="J35" s="8">
        <v>0</v>
      </c>
      <c r="K35" s="8">
        <v>0</v>
      </c>
      <c r="L35" s="8">
        <v>0</v>
      </c>
      <c r="M35" s="8">
        <v>0</v>
      </c>
      <c r="N35" s="8">
        <v>1</v>
      </c>
    </row>
    <row r="36" spans="1:14" x14ac:dyDescent="0.2">
      <c r="A36" s="12" t="s">
        <v>92</v>
      </c>
      <c r="B36" s="18" t="s">
        <v>41</v>
      </c>
      <c r="C36" s="18" t="s">
        <v>33</v>
      </c>
      <c r="D36" s="8">
        <v>0</v>
      </c>
      <c r="E36" s="8">
        <v>0</v>
      </c>
      <c r="F36" s="8">
        <v>0</v>
      </c>
      <c r="G36" s="8">
        <v>0</v>
      </c>
      <c r="H36" s="8">
        <v>0</v>
      </c>
      <c r="I36" s="8">
        <v>0</v>
      </c>
      <c r="J36" s="8">
        <v>0</v>
      </c>
      <c r="K36" s="8">
        <v>0</v>
      </c>
      <c r="L36" s="8">
        <v>0</v>
      </c>
      <c r="M36" s="8">
        <v>0</v>
      </c>
      <c r="N36" s="8">
        <v>0</v>
      </c>
    </row>
    <row r="37" spans="1:14" x14ac:dyDescent="0.2">
      <c r="A37" s="12" t="s">
        <v>93</v>
      </c>
      <c r="B37" s="18" t="s">
        <v>19</v>
      </c>
      <c r="C37" s="18" t="s">
        <v>15</v>
      </c>
      <c r="D37" s="8">
        <v>0</v>
      </c>
      <c r="E37" s="8">
        <v>0</v>
      </c>
      <c r="F37" s="8">
        <v>0</v>
      </c>
      <c r="G37" s="8">
        <v>0</v>
      </c>
      <c r="H37" s="8">
        <v>0</v>
      </c>
      <c r="I37" s="8">
        <v>0</v>
      </c>
      <c r="J37" s="8">
        <v>0</v>
      </c>
      <c r="K37" s="8">
        <v>0</v>
      </c>
      <c r="L37" s="8">
        <v>0</v>
      </c>
      <c r="M37" s="8">
        <v>0</v>
      </c>
      <c r="N37" s="8">
        <v>0</v>
      </c>
    </row>
    <row r="38" spans="1:14" x14ac:dyDescent="0.2">
      <c r="A38" s="12" t="s">
        <v>94</v>
      </c>
      <c r="B38" s="18" t="s">
        <v>42</v>
      </c>
      <c r="C38" s="18" t="s">
        <v>33</v>
      </c>
      <c r="D38" s="8">
        <v>0</v>
      </c>
      <c r="E38" s="8">
        <v>0</v>
      </c>
      <c r="F38" s="8">
        <v>0</v>
      </c>
      <c r="G38" s="8">
        <v>0</v>
      </c>
      <c r="H38" s="8">
        <v>0</v>
      </c>
      <c r="I38" s="8">
        <v>0</v>
      </c>
      <c r="J38" s="8">
        <v>0</v>
      </c>
      <c r="K38" s="8">
        <v>0</v>
      </c>
      <c r="L38" s="8">
        <v>0</v>
      </c>
      <c r="M38" s="8">
        <v>0</v>
      </c>
      <c r="N38" s="8">
        <v>0</v>
      </c>
    </row>
    <row r="39" spans="1:14" x14ac:dyDescent="0.2">
      <c r="A39" s="12" t="s">
        <v>95</v>
      </c>
      <c r="B39" s="18" t="s">
        <v>35</v>
      </c>
      <c r="C39" s="18" t="s">
        <v>33</v>
      </c>
      <c r="D39" s="8">
        <v>0</v>
      </c>
      <c r="E39" s="8">
        <v>0</v>
      </c>
      <c r="F39" s="8">
        <v>0</v>
      </c>
      <c r="G39" s="8">
        <v>0</v>
      </c>
      <c r="H39" s="8">
        <v>0</v>
      </c>
      <c r="I39" s="8">
        <v>0</v>
      </c>
      <c r="J39" s="8">
        <v>0</v>
      </c>
      <c r="K39" s="8">
        <v>0</v>
      </c>
      <c r="L39" s="8">
        <v>0</v>
      </c>
      <c r="M39" s="8">
        <v>0</v>
      </c>
      <c r="N39" s="8">
        <v>0</v>
      </c>
    </row>
    <row r="40" spans="1:14" x14ac:dyDescent="0.2">
      <c r="A40" s="12" t="s">
        <v>96</v>
      </c>
      <c r="B40" s="18" t="s">
        <v>49</v>
      </c>
      <c r="C40" s="18" t="s">
        <v>49</v>
      </c>
      <c r="D40" s="8">
        <v>1</v>
      </c>
      <c r="E40" s="8">
        <v>0</v>
      </c>
      <c r="F40" s="8">
        <v>0</v>
      </c>
      <c r="G40" s="8">
        <v>0</v>
      </c>
      <c r="H40" s="8">
        <v>0</v>
      </c>
      <c r="I40" s="8">
        <v>0</v>
      </c>
      <c r="J40" s="8">
        <v>0</v>
      </c>
      <c r="K40" s="8">
        <v>0</v>
      </c>
      <c r="L40" s="8">
        <v>0</v>
      </c>
      <c r="M40" s="8">
        <v>1</v>
      </c>
      <c r="N40" s="8">
        <v>1</v>
      </c>
    </row>
    <row r="41" spans="1:14" x14ac:dyDescent="0.2">
      <c r="A41" s="12" t="s">
        <v>97</v>
      </c>
      <c r="B41" s="18" t="s">
        <v>19</v>
      </c>
      <c r="C41" s="18" t="s">
        <v>15</v>
      </c>
      <c r="D41" s="8">
        <v>0</v>
      </c>
      <c r="E41" s="8">
        <v>0</v>
      </c>
      <c r="F41" s="8">
        <v>0</v>
      </c>
      <c r="G41" s="8">
        <v>0</v>
      </c>
      <c r="H41" s="8">
        <v>0</v>
      </c>
      <c r="I41" s="8">
        <v>0</v>
      </c>
      <c r="J41" s="8">
        <v>0</v>
      </c>
      <c r="K41" s="8">
        <v>0</v>
      </c>
      <c r="L41" s="8">
        <v>0</v>
      </c>
      <c r="M41" s="8">
        <v>0</v>
      </c>
      <c r="N41" s="8">
        <v>0</v>
      </c>
    </row>
    <row r="42" spans="1:14" x14ac:dyDescent="0.2">
      <c r="A42" s="12" t="s">
        <v>98</v>
      </c>
      <c r="B42" s="18" t="s">
        <v>31</v>
      </c>
      <c r="C42" s="18" t="s">
        <v>29</v>
      </c>
      <c r="D42" s="8">
        <v>1</v>
      </c>
      <c r="E42" s="8">
        <v>0</v>
      </c>
      <c r="F42" s="8">
        <v>0</v>
      </c>
      <c r="G42" s="8">
        <v>0</v>
      </c>
      <c r="H42" s="8">
        <v>0</v>
      </c>
      <c r="I42" s="8">
        <v>0</v>
      </c>
      <c r="J42" s="8">
        <v>0</v>
      </c>
      <c r="K42" s="8">
        <v>1</v>
      </c>
      <c r="L42" s="8">
        <v>0</v>
      </c>
      <c r="M42" s="8">
        <v>0</v>
      </c>
      <c r="N42" s="8">
        <v>1</v>
      </c>
    </row>
    <row r="43" spans="1:14" x14ac:dyDescent="0.2">
      <c r="A43" s="12" t="s">
        <v>99</v>
      </c>
      <c r="B43" s="18" t="s">
        <v>43</v>
      </c>
      <c r="C43" s="18" t="s">
        <v>33</v>
      </c>
      <c r="D43" s="8">
        <v>1</v>
      </c>
      <c r="E43" s="8">
        <v>0</v>
      </c>
      <c r="F43" s="8">
        <v>0</v>
      </c>
      <c r="G43" s="8">
        <v>0</v>
      </c>
      <c r="H43" s="8">
        <v>0</v>
      </c>
      <c r="I43" s="8">
        <v>0</v>
      </c>
      <c r="J43" s="8">
        <v>0</v>
      </c>
      <c r="K43" s="8">
        <v>0</v>
      </c>
      <c r="L43" s="8">
        <v>0</v>
      </c>
      <c r="M43" s="8">
        <v>1</v>
      </c>
      <c r="N43" s="8">
        <v>1</v>
      </c>
    </row>
    <row r="44" spans="1:14" x14ac:dyDescent="0.2">
      <c r="A44" s="12" t="s">
        <v>100</v>
      </c>
      <c r="B44" s="18" t="s">
        <v>44</v>
      </c>
      <c r="C44" s="18" t="s">
        <v>33</v>
      </c>
      <c r="D44" s="8">
        <v>0</v>
      </c>
      <c r="E44" s="8">
        <v>0</v>
      </c>
      <c r="F44" s="8">
        <v>0</v>
      </c>
      <c r="G44" s="8">
        <v>0</v>
      </c>
      <c r="H44" s="8">
        <v>0</v>
      </c>
      <c r="I44" s="8">
        <v>0</v>
      </c>
      <c r="J44" s="8">
        <v>0</v>
      </c>
      <c r="K44" s="8">
        <v>0</v>
      </c>
      <c r="L44" s="8">
        <v>0</v>
      </c>
      <c r="M44" s="8">
        <v>0</v>
      </c>
      <c r="N44" s="8">
        <v>0</v>
      </c>
    </row>
    <row r="45" spans="1:14" x14ac:dyDescent="0.2">
      <c r="A45" s="12" t="s">
        <v>101</v>
      </c>
      <c r="B45" s="18" t="s">
        <v>38</v>
      </c>
      <c r="C45" s="18" t="s">
        <v>33</v>
      </c>
      <c r="D45" s="8">
        <v>0</v>
      </c>
      <c r="E45" s="8">
        <v>0</v>
      </c>
      <c r="F45" s="8">
        <v>0</v>
      </c>
      <c r="G45" s="8">
        <v>0</v>
      </c>
      <c r="H45" s="8">
        <v>0</v>
      </c>
      <c r="I45" s="8">
        <v>0</v>
      </c>
      <c r="J45" s="8">
        <v>0</v>
      </c>
      <c r="K45" s="8">
        <v>0</v>
      </c>
      <c r="L45" s="8">
        <v>0</v>
      </c>
      <c r="M45" s="8">
        <v>0</v>
      </c>
      <c r="N45" s="8">
        <v>0</v>
      </c>
    </row>
    <row r="46" spans="1:14" x14ac:dyDescent="0.2">
      <c r="A46" s="12" t="s">
        <v>102</v>
      </c>
      <c r="B46" s="18" t="s">
        <v>42</v>
      </c>
      <c r="C46" s="18" t="s">
        <v>33</v>
      </c>
      <c r="D46" s="8">
        <v>1</v>
      </c>
      <c r="E46" s="8">
        <v>0</v>
      </c>
      <c r="F46" s="8">
        <v>0</v>
      </c>
      <c r="G46" s="8">
        <v>0</v>
      </c>
      <c r="H46" s="8">
        <v>0</v>
      </c>
      <c r="I46" s="8">
        <v>0</v>
      </c>
      <c r="J46" s="8">
        <v>0</v>
      </c>
      <c r="K46" s="8">
        <v>0</v>
      </c>
      <c r="L46" s="8">
        <v>0</v>
      </c>
      <c r="M46" s="8">
        <v>1</v>
      </c>
      <c r="N46" s="8">
        <v>1</v>
      </c>
    </row>
    <row r="47" spans="1:14" x14ac:dyDescent="0.2">
      <c r="A47" s="12" t="s">
        <v>103</v>
      </c>
      <c r="B47" s="18" t="s">
        <v>42</v>
      </c>
      <c r="C47" s="18" t="s">
        <v>33</v>
      </c>
      <c r="D47" s="8">
        <v>0</v>
      </c>
      <c r="E47" s="8">
        <v>0</v>
      </c>
      <c r="F47" s="8">
        <v>0</v>
      </c>
      <c r="G47" s="8">
        <v>0</v>
      </c>
      <c r="H47" s="8">
        <v>0</v>
      </c>
      <c r="I47" s="8">
        <v>0</v>
      </c>
      <c r="J47" s="8">
        <v>0</v>
      </c>
      <c r="K47" s="8">
        <v>0</v>
      </c>
      <c r="L47" s="8">
        <v>0</v>
      </c>
      <c r="M47" s="8">
        <v>0</v>
      </c>
      <c r="N47" s="8">
        <v>0</v>
      </c>
    </row>
    <row r="48" spans="1:14" x14ac:dyDescent="0.2">
      <c r="A48" s="12" t="s">
        <v>204</v>
      </c>
      <c r="B48" s="18" t="s">
        <v>32</v>
      </c>
      <c r="C48" s="18" t="s">
        <v>29</v>
      </c>
      <c r="D48" s="8">
        <v>4</v>
      </c>
      <c r="E48" s="8">
        <v>2</v>
      </c>
      <c r="F48" s="8">
        <v>0</v>
      </c>
      <c r="G48" s="8">
        <v>1</v>
      </c>
      <c r="H48" s="8">
        <v>1</v>
      </c>
      <c r="I48" s="8">
        <v>0</v>
      </c>
      <c r="J48" s="8">
        <v>0</v>
      </c>
      <c r="K48" s="8">
        <v>0</v>
      </c>
      <c r="L48" s="8">
        <v>0</v>
      </c>
      <c r="M48" s="8">
        <v>0</v>
      </c>
      <c r="N48" s="8">
        <v>1</v>
      </c>
    </row>
    <row r="49" spans="1:14" x14ac:dyDescent="0.2">
      <c r="A49" s="12" t="s">
        <v>104</v>
      </c>
      <c r="B49" s="18" t="s">
        <v>35</v>
      </c>
      <c r="C49" s="18" t="s">
        <v>33</v>
      </c>
      <c r="D49" s="8">
        <v>0</v>
      </c>
      <c r="E49" s="8">
        <v>0</v>
      </c>
      <c r="F49" s="8">
        <v>0</v>
      </c>
      <c r="G49" s="8">
        <v>0</v>
      </c>
      <c r="H49" s="8">
        <v>0</v>
      </c>
      <c r="I49" s="8">
        <v>0</v>
      </c>
      <c r="J49" s="8">
        <v>0</v>
      </c>
      <c r="K49" s="8">
        <v>0</v>
      </c>
      <c r="L49" s="8">
        <v>0</v>
      </c>
      <c r="M49" s="8">
        <v>0</v>
      </c>
      <c r="N49" s="8">
        <v>0</v>
      </c>
    </row>
    <row r="50" spans="1:14" x14ac:dyDescent="0.2">
      <c r="A50" s="12" t="s">
        <v>105</v>
      </c>
      <c r="B50" s="18" t="s">
        <v>44</v>
      </c>
      <c r="C50" s="18" t="s">
        <v>33</v>
      </c>
      <c r="D50" s="8">
        <v>0</v>
      </c>
      <c r="E50" s="8">
        <v>0</v>
      </c>
      <c r="F50" s="8">
        <v>0</v>
      </c>
      <c r="G50" s="8">
        <v>0</v>
      </c>
      <c r="H50" s="8">
        <v>0</v>
      </c>
      <c r="I50" s="8">
        <v>0</v>
      </c>
      <c r="J50" s="8">
        <v>0</v>
      </c>
      <c r="K50" s="8">
        <v>0</v>
      </c>
      <c r="L50" s="8">
        <v>0</v>
      </c>
      <c r="M50" s="8">
        <v>0</v>
      </c>
      <c r="N50" s="8">
        <v>0</v>
      </c>
    </row>
    <row r="51" spans="1:14" x14ac:dyDescent="0.2">
      <c r="A51" s="12" t="s">
        <v>106</v>
      </c>
      <c r="B51" s="18" t="s">
        <v>44</v>
      </c>
      <c r="C51" s="18" t="s">
        <v>33</v>
      </c>
      <c r="D51" s="8">
        <v>1</v>
      </c>
      <c r="E51" s="8">
        <v>0</v>
      </c>
      <c r="F51" s="8">
        <v>0</v>
      </c>
      <c r="G51" s="8">
        <v>0</v>
      </c>
      <c r="H51" s="8">
        <v>0</v>
      </c>
      <c r="I51" s="8">
        <v>0</v>
      </c>
      <c r="J51" s="8">
        <v>0</v>
      </c>
      <c r="K51" s="8">
        <v>0</v>
      </c>
      <c r="L51" s="8">
        <v>0</v>
      </c>
      <c r="M51" s="8">
        <v>1</v>
      </c>
      <c r="N51" s="8">
        <v>1</v>
      </c>
    </row>
    <row r="52" spans="1:14" x14ac:dyDescent="0.2">
      <c r="A52" s="12" t="s">
        <v>107</v>
      </c>
      <c r="B52" s="18" t="s">
        <v>42</v>
      </c>
      <c r="C52" s="18" t="s">
        <v>33</v>
      </c>
      <c r="D52" s="8">
        <v>3</v>
      </c>
      <c r="E52" s="8">
        <v>0</v>
      </c>
      <c r="F52" s="8">
        <v>0</v>
      </c>
      <c r="G52" s="8">
        <v>0</v>
      </c>
      <c r="H52" s="8">
        <v>0</v>
      </c>
      <c r="I52" s="8">
        <v>2</v>
      </c>
      <c r="J52" s="8">
        <v>0</v>
      </c>
      <c r="K52" s="8">
        <v>0</v>
      </c>
      <c r="L52" s="8">
        <v>0</v>
      </c>
      <c r="M52" s="8">
        <v>1</v>
      </c>
      <c r="N52" s="8">
        <v>1</v>
      </c>
    </row>
    <row r="53" spans="1:14" x14ac:dyDescent="0.2">
      <c r="A53" s="12" t="s">
        <v>108</v>
      </c>
      <c r="B53" s="18" t="s">
        <v>44</v>
      </c>
      <c r="C53" s="18" t="s">
        <v>33</v>
      </c>
      <c r="D53" s="8">
        <v>1</v>
      </c>
      <c r="E53" s="8">
        <v>0</v>
      </c>
      <c r="F53" s="8">
        <v>0</v>
      </c>
      <c r="G53" s="8">
        <v>0</v>
      </c>
      <c r="H53" s="8">
        <v>0</v>
      </c>
      <c r="I53" s="8">
        <v>0</v>
      </c>
      <c r="J53" s="8">
        <v>0</v>
      </c>
      <c r="K53" s="8">
        <v>1</v>
      </c>
      <c r="L53" s="8">
        <v>0</v>
      </c>
      <c r="M53" s="8">
        <v>0</v>
      </c>
      <c r="N53" s="8">
        <v>1</v>
      </c>
    </row>
    <row r="54" spans="1:14" x14ac:dyDescent="0.2">
      <c r="A54" s="12" t="s">
        <v>109</v>
      </c>
      <c r="B54" s="18" t="s">
        <v>35</v>
      </c>
      <c r="C54" s="18" t="s">
        <v>33</v>
      </c>
      <c r="D54" s="8">
        <v>1</v>
      </c>
      <c r="E54" s="8">
        <v>0</v>
      </c>
      <c r="F54" s="8">
        <v>0</v>
      </c>
      <c r="G54" s="8">
        <v>0</v>
      </c>
      <c r="H54" s="8">
        <v>0</v>
      </c>
      <c r="I54" s="8">
        <v>0</v>
      </c>
      <c r="J54" s="8">
        <v>0</v>
      </c>
      <c r="K54" s="8">
        <v>0</v>
      </c>
      <c r="L54" s="8">
        <v>1</v>
      </c>
      <c r="M54" s="8">
        <v>0</v>
      </c>
      <c r="N54" s="8">
        <v>1</v>
      </c>
    </row>
    <row r="55" spans="1:14" x14ac:dyDescent="0.2">
      <c r="A55" s="12" t="s">
        <v>110</v>
      </c>
      <c r="B55" s="20" t="s">
        <v>38</v>
      </c>
      <c r="C55" s="18" t="s">
        <v>33</v>
      </c>
      <c r="D55" s="8">
        <v>2</v>
      </c>
      <c r="E55" s="8">
        <v>0</v>
      </c>
      <c r="F55" s="8">
        <v>0</v>
      </c>
      <c r="G55" s="8">
        <v>2</v>
      </c>
      <c r="H55" s="8">
        <v>0</v>
      </c>
      <c r="I55" s="8">
        <v>0</v>
      </c>
      <c r="J55" s="8">
        <v>0</v>
      </c>
      <c r="K55" s="8">
        <v>0</v>
      </c>
      <c r="L55" s="8">
        <v>0</v>
      </c>
      <c r="M55" s="8">
        <v>0</v>
      </c>
      <c r="N55" s="8">
        <v>1</v>
      </c>
    </row>
    <row r="56" spans="1:14" x14ac:dyDescent="0.2">
      <c r="A56" s="12" t="s">
        <v>111</v>
      </c>
      <c r="B56" s="18" t="s">
        <v>19</v>
      </c>
      <c r="C56" s="18" t="s">
        <v>15</v>
      </c>
      <c r="D56" s="8">
        <v>0</v>
      </c>
      <c r="E56" s="8">
        <v>0</v>
      </c>
      <c r="F56" s="8">
        <v>0</v>
      </c>
      <c r="G56" s="8">
        <v>0</v>
      </c>
      <c r="H56" s="8">
        <v>0</v>
      </c>
      <c r="I56" s="8">
        <v>0</v>
      </c>
      <c r="J56" s="8">
        <v>0</v>
      </c>
      <c r="K56" s="8">
        <v>0</v>
      </c>
      <c r="L56" s="8">
        <v>0</v>
      </c>
      <c r="M56" s="8">
        <v>0</v>
      </c>
      <c r="N56" s="8">
        <v>0</v>
      </c>
    </row>
    <row r="57" spans="1:14" x14ac:dyDescent="0.2">
      <c r="A57" s="12" t="s">
        <v>112</v>
      </c>
      <c r="B57" s="18" t="s">
        <v>27</v>
      </c>
      <c r="C57" s="18" t="s">
        <v>25</v>
      </c>
      <c r="D57" s="8">
        <v>0</v>
      </c>
      <c r="E57" s="8">
        <v>0</v>
      </c>
      <c r="F57" s="8">
        <v>0</v>
      </c>
      <c r="G57" s="8">
        <v>0</v>
      </c>
      <c r="H57" s="8">
        <v>0</v>
      </c>
      <c r="I57" s="8">
        <v>0</v>
      </c>
      <c r="J57" s="8">
        <v>0</v>
      </c>
      <c r="K57" s="8">
        <v>0</v>
      </c>
      <c r="L57" s="8">
        <v>0</v>
      </c>
      <c r="M57" s="8">
        <v>0</v>
      </c>
      <c r="N57" s="8">
        <v>0</v>
      </c>
    </row>
    <row r="58" spans="1:14" x14ac:dyDescent="0.2">
      <c r="A58" s="12" t="s">
        <v>113</v>
      </c>
      <c r="B58" s="18" t="s">
        <v>50</v>
      </c>
      <c r="C58" s="18" t="s">
        <v>50</v>
      </c>
      <c r="D58" s="8">
        <v>0</v>
      </c>
      <c r="E58" s="8">
        <v>0</v>
      </c>
      <c r="F58" s="8">
        <v>0</v>
      </c>
      <c r="G58" s="8">
        <v>0</v>
      </c>
      <c r="H58" s="8">
        <v>0</v>
      </c>
      <c r="I58" s="8">
        <v>0</v>
      </c>
      <c r="J58" s="8">
        <v>0</v>
      </c>
      <c r="K58" s="8">
        <v>0</v>
      </c>
      <c r="L58" s="8">
        <v>0</v>
      </c>
      <c r="M58" s="8">
        <v>0</v>
      </c>
      <c r="N58" s="8">
        <v>0</v>
      </c>
    </row>
    <row r="59" spans="1:14" x14ac:dyDescent="0.2">
      <c r="A59" s="12" t="s">
        <v>114</v>
      </c>
      <c r="B59" s="18" t="s">
        <v>30</v>
      </c>
      <c r="C59" s="18" t="s">
        <v>29</v>
      </c>
      <c r="D59" s="8">
        <v>0</v>
      </c>
      <c r="E59" s="8">
        <v>0</v>
      </c>
      <c r="F59" s="8">
        <v>0</v>
      </c>
      <c r="G59" s="8">
        <v>0</v>
      </c>
      <c r="H59" s="8">
        <v>0</v>
      </c>
      <c r="I59" s="8">
        <v>0</v>
      </c>
      <c r="J59" s="8">
        <v>0</v>
      </c>
      <c r="K59" s="8">
        <v>0</v>
      </c>
      <c r="L59" s="8">
        <v>0</v>
      </c>
      <c r="M59" s="8">
        <v>0</v>
      </c>
      <c r="N59" s="8">
        <v>0</v>
      </c>
    </row>
    <row r="60" spans="1:14" x14ac:dyDescent="0.2">
      <c r="A60" s="12" t="s">
        <v>115</v>
      </c>
      <c r="B60" s="20" t="s">
        <v>44</v>
      </c>
      <c r="C60" s="18" t="s">
        <v>33</v>
      </c>
      <c r="D60" s="8">
        <v>0</v>
      </c>
      <c r="E60" s="8">
        <v>0</v>
      </c>
      <c r="F60" s="8">
        <v>0</v>
      </c>
      <c r="G60" s="8">
        <v>0</v>
      </c>
      <c r="H60" s="8">
        <v>0</v>
      </c>
      <c r="I60" s="8">
        <v>0</v>
      </c>
      <c r="J60" s="8">
        <v>0</v>
      </c>
      <c r="K60" s="8">
        <v>0</v>
      </c>
      <c r="L60" s="8">
        <v>0</v>
      </c>
      <c r="M60" s="8">
        <v>0</v>
      </c>
      <c r="N60" s="8">
        <v>0</v>
      </c>
    </row>
    <row r="61" spans="1:14" x14ac:dyDescent="0.2">
      <c r="A61" s="12" t="s">
        <v>116</v>
      </c>
      <c r="B61" s="20" t="s">
        <v>39</v>
      </c>
      <c r="C61" s="20" t="s">
        <v>33</v>
      </c>
      <c r="D61" s="8">
        <v>0</v>
      </c>
      <c r="E61" s="8">
        <v>0</v>
      </c>
      <c r="F61" s="8">
        <v>0</v>
      </c>
      <c r="G61" s="8">
        <v>0</v>
      </c>
      <c r="H61" s="8">
        <v>0</v>
      </c>
      <c r="I61" s="8">
        <v>0</v>
      </c>
      <c r="J61" s="8">
        <v>0</v>
      </c>
      <c r="K61" s="8">
        <v>0</v>
      </c>
      <c r="L61" s="8">
        <v>0</v>
      </c>
      <c r="M61" s="8">
        <v>0</v>
      </c>
      <c r="N61" s="8">
        <v>0</v>
      </c>
    </row>
    <row r="62" spans="1:14" x14ac:dyDescent="0.2">
      <c r="A62" s="12" t="s">
        <v>117</v>
      </c>
      <c r="B62" s="18" t="s">
        <v>26</v>
      </c>
      <c r="C62" s="18" t="s">
        <v>25</v>
      </c>
      <c r="D62" s="8">
        <v>0</v>
      </c>
      <c r="E62" s="8">
        <v>0</v>
      </c>
      <c r="F62" s="8">
        <v>0</v>
      </c>
      <c r="G62" s="8">
        <v>0</v>
      </c>
      <c r="H62" s="8">
        <v>0</v>
      </c>
      <c r="I62" s="8">
        <v>0</v>
      </c>
      <c r="J62" s="8">
        <v>0</v>
      </c>
      <c r="K62" s="8">
        <v>0</v>
      </c>
      <c r="L62" s="8">
        <v>0</v>
      </c>
      <c r="M62" s="8">
        <v>0</v>
      </c>
      <c r="N62" s="8">
        <v>0</v>
      </c>
    </row>
    <row r="63" spans="1:14" x14ac:dyDescent="0.2">
      <c r="A63" s="12" t="s">
        <v>118</v>
      </c>
      <c r="B63" s="18" t="s">
        <v>18</v>
      </c>
      <c r="C63" s="18" t="s">
        <v>15</v>
      </c>
      <c r="D63" s="8">
        <v>3</v>
      </c>
      <c r="E63" s="8">
        <v>3</v>
      </c>
      <c r="F63" s="8">
        <v>0</v>
      </c>
      <c r="G63" s="8">
        <v>0</v>
      </c>
      <c r="H63" s="8">
        <v>0</v>
      </c>
      <c r="I63" s="8">
        <v>0</v>
      </c>
      <c r="J63" s="8">
        <v>0</v>
      </c>
      <c r="K63" s="8">
        <v>0</v>
      </c>
      <c r="L63" s="8">
        <v>0</v>
      </c>
      <c r="M63" s="8">
        <v>0</v>
      </c>
      <c r="N63" s="8">
        <v>1</v>
      </c>
    </row>
    <row r="64" spans="1:14" x14ac:dyDescent="0.2">
      <c r="A64" s="12" t="s">
        <v>119</v>
      </c>
      <c r="B64" s="18" t="s">
        <v>18</v>
      </c>
      <c r="C64" s="18" t="s">
        <v>15</v>
      </c>
      <c r="D64" s="8">
        <v>2</v>
      </c>
      <c r="E64" s="8">
        <v>2</v>
      </c>
      <c r="F64" s="8">
        <v>0</v>
      </c>
      <c r="G64" s="8">
        <v>0</v>
      </c>
      <c r="H64" s="8">
        <v>0</v>
      </c>
      <c r="I64" s="8">
        <v>0</v>
      </c>
      <c r="J64" s="8">
        <v>0</v>
      </c>
      <c r="K64" s="8">
        <v>0</v>
      </c>
      <c r="L64" s="8">
        <v>0</v>
      </c>
      <c r="M64" s="8">
        <v>0</v>
      </c>
      <c r="N64" s="8">
        <v>1</v>
      </c>
    </row>
    <row r="65" spans="1:14" x14ac:dyDescent="0.2">
      <c r="A65" s="12" t="s">
        <v>120</v>
      </c>
      <c r="B65" s="18" t="s">
        <v>18</v>
      </c>
      <c r="C65" s="18" t="s">
        <v>15</v>
      </c>
      <c r="D65" s="8">
        <v>0</v>
      </c>
      <c r="E65" s="8">
        <v>0</v>
      </c>
      <c r="F65" s="8">
        <v>0</v>
      </c>
      <c r="G65" s="8">
        <v>0</v>
      </c>
      <c r="H65" s="8">
        <v>0</v>
      </c>
      <c r="I65" s="8">
        <v>0</v>
      </c>
      <c r="J65" s="8">
        <v>0</v>
      </c>
      <c r="K65" s="8">
        <v>0</v>
      </c>
      <c r="L65" s="8">
        <v>0</v>
      </c>
      <c r="M65" s="8">
        <v>0</v>
      </c>
      <c r="N65" s="8">
        <v>0</v>
      </c>
    </row>
    <row r="66" spans="1:14" x14ac:dyDescent="0.2">
      <c r="A66" s="12" t="s">
        <v>121</v>
      </c>
      <c r="B66" s="18" t="s">
        <v>24</v>
      </c>
      <c r="C66" s="18" t="s">
        <v>22</v>
      </c>
      <c r="D66" s="8">
        <v>11</v>
      </c>
      <c r="E66" s="8">
        <v>0</v>
      </c>
      <c r="F66" s="8">
        <v>0</v>
      </c>
      <c r="G66" s="8">
        <v>9</v>
      </c>
      <c r="H66" s="8">
        <v>0</v>
      </c>
      <c r="I66" s="8">
        <v>2</v>
      </c>
      <c r="J66" s="8">
        <v>0</v>
      </c>
      <c r="K66" s="8">
        <v>0</v>
      </c>
      <c r="L66" s="8">
        <v>0</v>
      </c>
      <c r="M66" s="8">
        <v>0</v>
      </c>
      <c r="N66" s="8">
        <v>1</v>
      </c>
    </row>
    <row r="67" spans="1:14" x14ac:dyDescent="0.2">
      <c r="A67" s="12" t="s">
        <v>122</v>
      </c>
      <c r="B67" s="18" t="s">
        <v>48</v>
      </c>
      <c r="C67" s="18" t="s">
        <v>33</v>
      </c>
      <c r="D67" s="8">
        <v>0</v>
      </c>
      <c r="E67" s="8">
        <v>0</v>
      </c>
      <c r="F67" s="8">
        <v>0</v>
      </c>
      <c r="G67" s="8">
        <v>0</v>
      </c>
      <c r="H67" s="8">
        <v>0</v>
      </c>
      <c r="I67" s="8">
        <v>0</v>
      </c>
      <c r="J67" s="8">
        <v>0</v>
      </c>
      <c r="K67" s="8">
        <v>0</v>
      </c>
      <c r="L67" s="8">
        <v>0</v>
      </c>
      <c r="M67" s="8">
        <v>0</v>
      </c>
      <c r="N67" s="8">
        <v>0</v>
      </c>
    </row>
    <row r="68" spans="1:14" x14ac:dyDescent="0.2">
      <c r="A68" s="12" t="s">
        <v>123</v>
      </c>
      <c r="B68" s="18" t="s">
        <v>463</v>
      </c>
      <c r="C68" s="18" t="s">
        <v>33</v>
      </c>
      <c r="D68" s="8">
        <v>0</v>
      </c>
      <c r="E68" s="8">
        <v>0</v>
      </c>
      <c r="F68" s="8">
        <v>0</v>
      </c>
      <c r="G68" s="8">
        <v>0</v>
      </c>
      <c r="H68" s="8">
        <v>0</v>
      </c>
      <c r="I68" s="8">
        <v>0</v>
      </c>
      <c r="J68" s="8">
        <v>0</v>
      </c>
      <c r="K68" s="8">
        <v>0</v>
      </c>
      <c r="L68" s="8">
        <v>0</v>
      </c>
      <c r="M68" s="8">
        <v>0</v>
      </c>
      <c r="N68" s="8">
        <v>0</v>
      </c>
    </row>
    <row r="69" spans="1:14" x14ac:dyDescent="0.2">
      <c r="A69" s="12" t="s">
        <v>124</v>
      </c>
      <c r="B69" s="18" t="s">
        <v>463</v>
      </c>
      <c r="C69" s="18" t="s">
        <v>33</v>
      </c>
      <c r="D69" s="8">
        <v>0</v>
      </c>
      <c r="E69" s="8">
        <v>0</v>
      </c>
      <c r="F69" s="8">
        <v>0</v>
      </c>
      <c r="G69" s="8">
        <v>0</v>
      </c>
      <c r="H69" s="8">
        <v>0</v>
      </c>
      <c r="I69" s="8">
        <v>0</v>
      </c>
      <c r="J69" s="8">
        <v>0</v>
      </c>
      <c r="K69" s="8">
        <v>0</v>
      </c>
      <c r="L69" s="8">
        <v>0</v>
      </c>
      <c r="M69" s="8">
        <v>0</v>
      </c>
      <c r="N69" s="8">
        <v>0</v>
      </c>
    </row>
    <row r="70" spans="1:14" x14ac:dyDescent="0.2">
      <c r="A70" s="12" t="s">
        <v>125</v>
      </c>
      <c r="B70" s="18" t="s">
        <v>37</v>
      </c>
      <c r="C70" s="18" t="s">
        <v>33</v>
      </c>
      <c r="D70" s="8">
        <v>0</v>
      </c>
      <c r="E70" s="8">
        <v>0</v>
      </c>
      <c r="F70" s="8">
        <v>0</v>
      </c>
      <c r="G70" s="8">
        <v>0</v>
      </c>
      <c r="H70" s="8">
        <v>0</v>
      </c>
      <c r="I70" s="8">
        <v>0</v>
      </c>
      <c r="J70" s="8">
        <v>0</v>
      </c>
      <c r="K70" s="8">
        <v>0</v>
      </c>
      <c r="L70" s="8">
        <v>0</v>
      </c>
      <c r="M70" s="8">
        <v>0</v>
      </c>
      <c r="N70" s="8">
        <v>0</v>
      </c>
    </row>
    <row r="71" spans="1:14" x14ac:dyDescent="0.2">
      <c r="A71" s="12" t="s">
        <v>126</v>
      </c>
      <c r="B71" s="18" t="s">
        <v>35</v>
      </c>
      <c r="C71" s="18" t="s">
        <v>33</v>
      </c>
      <c r="D71" s="8">
        <v>0</v>
      </c>
      <c r="E71" s="8">
        <v>0</v>
      </c>
      <c r="F71" s="8">
        <v>0</v>
      </c>
      <c r="G71" s="8">
        <v>0</v>
      </c>
      <c r="H71" s="8">
        <v>0</v>
      </c>
      <c r="I71" s="8">
        <v>0</v>
      </c>
      <c r="J71" s="8">
        <v>0</v>
      </c>
      <c r="K71" s="8">
        <v>0</v>
      </c>
      <c r="L71" s="8">
        <v>0</v>
      </c>
      <c r="M71" s="8">
        <v>0</v>
      </c>
      <c r="N71" s="8">
        <v>0</v>
      </c>
    </row>
    <row r="72" spans="1:14" x14ac:dyDescent="0.2">
      <c r="A72" s="12" t="s">
        <v>127</v>
      </c>
      <c r="B72" s="18" t="s">
        <v>24</v>
      </c>
      <c r="C72" s="18" t="s">
        <v>22</v>
      </c>
      <c r="D72" s="8">
        <v>1</v>
      </c>
      <c r="E72" s="8">
        <v>0</v>
      </c>
      <c r="F72" s="8">
        <v>0</v>
      </c>
      <c r="G72" s="8">
        <v>1</v>
      </c>
      <c r="H72" s="8">
        <v>0</v>
      </c>
      <c r="I72" s="8">
        <v>0</v>
      </c>
      <c r="J72" s="8">
        <v>0</v>
      </c>
      <c r="K72" s="8">
        <v>0</v>
      </c>
      <c r="L72" s="8">
        <v>0</v>
      </c>
      <c r="M72" s="8">
        <v>0</v>
      </c>
      <c r="N72" s="8">
        <v>1</v>
      </c>
    </row>
    <row r="73" spans="1:14" x14ac:dyDescent="0.2">
      <c r="A73" s="12" t="s">
        <v>128</v>
      </c>
      <c r="B73" s="18" t="s">
        <v>24</v>
      </c>
      <c r="C73" s="18" t="s">
        <v>22</v>
      </c>
      <c r="D73" s="8">
        <v>1</v>
      </c>
      <c r="E73" s="8">
        <v>1</v>
      </c>
      <c r="F73" s="8">
        <v>0</v>
      </c>
      <c r="G73" s="8">
        <v>0</v>
      </c>
      <c r="H73" s="8">
        <v>0</v>
      </c>
      <c r="I73" s="8">
        <v>0</v>
      </c>
      <c r="J73" s="8">
        <v>0</v>
      </c>
      <c r="K73" s="8">
        <v>0</v>
      </c>
      <c r="L73" s="8">
        <v>0</v>
      </c>
      <c r="M73" s="8">
        <v>0</v>
      </c>
      <c r="N73" s="8">
        <v>1</v>
      </c>
    </row>
    <row r="74" spans="1:14" x14ac:dyDescent="0.2">
      <c r="A74" s="12" t="s">
        <v>129</v>
      </c>
      <c r="B74" s="18" t="s">
        <v>18</v>
      </c>
      <c r="C74" s="18" t="s">
        <v>15</v>
      </c>
      <c r="D74" s="8">
        <v>0</v>
      </c>
      <c r="E74" s="8">
        <v>0</v>
      </c>
      <c r="F74" s="8">
        <v>0</v>
      </c>
      <c r="G74" s="8">
        <v>0</v>
      </c>
      <c r="H74" s="8">
        <v>0</v>
      </c>
      <c r="I74" s="8">
        <v>0</v>
      </c>
      <c r="J74" s="8">
        <v>0</v>
      </c>
      <c r="K74" s="8">
        <v>0</v>
      </c>
      <c r="L74" s="8">
        <v>0</v>
      </c>
      <c r="M74" s="8">
        <v>0</v>
      </c>
      <c r="N74" s="8">
        <v>0</v>
      </c>
    </row>
    <row r="75" spans="1:14" x14ac:dyDescent="0.2">
      <c r="A75" s="12" t="s">
        <v>130</v>
      </c>
      <c r="B75" s="18" t="s">
        <v>463</v>
      </c>
      <c r="C75" s="18" t="s">
        <v>33</v>
      </c>
      <c r="D75" s="8">
        <v>0</v>
      </c>
      <c r="E75" s="8">
        <v>0</v>
      </c>
      <c r="F75" s="8">
        <v>0</v>
      </c>
      <c r="G75" s="8">
        <v>0</v>
      </c>
      <c r="H75" s="8">
        <v>0</v>
      </c>
      <c r="I75" s="8">
        <v>0</v>
      </c>
      <c r="J75" s="8">
        <v>0</v>
      </c>
      <c r="K75" s="8">
        <v>0</v>
      </c>
      <c r="L75" s="8">
        <v>0</v>
      </c>
      <c r="M75" s="8">
        <v>0</v>
      </c>
      <c r="N75" s="8">
        <v>0</v>
      </c>
    </row>
    <row r="76" spans="1:14" x14ac:dyDescent="0.2">
      <c r="A76" s="12" t="s">
        <v>131</v>
      </c>
      <c r="B76" s="18" t="s">
        <v>47</v>
      </c>
      <c r="C76" s="18" t="s">
        <v>33</v>
      </c>
      <c r="D76" s="8">
        <v>1</v>
      </c>
      <c r="E76" s="8">
        <v>1</v>
      </c>
      <c r="F76" s="8">
        <v>0</v>
      </c>
      <c r="G76" s="8">
        <v>0</v>
      </c>
      <c r="H76" s="8">
        <v>0</v>
      </c>
      <c r="I76" s="8">
        <v>0</v>
      </c>
      <c r="J76" s="8">
        <v>0</v>
      </c>
      <c r="K76" s="8">
        <v>0</v>
      </c>
      <c r="L76" s="8">
        <v>0</v>
      </c>
      <c r="M76" s="8">
        <v>0</v>
      </c>
      <c r="N76" s="8">
        <v>1</v>
      </c>
    </row>
    <row r="77" spans="1:14" x14ac:dyDescent="0.2">
      <c r="A77" s="12" t="s">
        <v>132</v>
      </c>
      <c r="B77" s="18" t="s">
        <v>16</v>
      </c>
      <c r="C77" s="18" t="s">
        <v>15</v>
      </c>
      <c r="D77" s="8">
        <v>0</v>
      </c>
      <c r="E77" s="8">
        <v>0</v>
      </c>
      <c r="F77" s="8">
        <v>0</v>
      </c>
      <c r="G77" s="8">
        <v>0</v>
      </c>
      <c r="H77" s="8">
        <v>0</v>
      </c>
      <c r="I77" s="8">
        <v>0</v>
      </c>
      <c r="J77" s="8">
        <v>0</v>
      </c>
      <c r="K77" s="8">
        <v>0</v>
      </c>
      <c r="L77" s="8">
        <v>0</v>
      </c>
      <c r="M77" s="8">
        <v>0</v>
      </c>
      <c r="N77" s="8">
        <v>0</v>
      </c>
    </row>
    <row r="78" spans="1:14" x14ac:dyDescent="0.2">
      <c r="A78" s="12" t="s">
        <v>133</v>
      </c>
      <c r="B78" s="18" t="s">
        <v>18</v>
      </c>
      <c r="C78" s="18" t="s">
        <v>15</v>
      </c>
      <c r="D78" s="8">
        <v>1</v>
      </c>
      <c r="E78" s="8">
        <v>1</v>
      </c>
      <c r="F78" s="8">
        <v>0</v>
      </c>
      <c r="G78" s="8">
        <v>0</v>
      </c>
      <c r="H78" s="8">
        <v>0</v>
      </c>
      <c r="I78" s="8">
        <v>0</v>
      </c>
      <c r="J78" s="8">
        <v>0</v>
      </c>
      <c r="K78" s="8">
        <v>0</v>
      </c>
      <c r="L78" s="8">
        <v>0</v>
      </c>
      <c r="M78" s="8">
        <v>0</v>
      </c>
      <c r="N78" s="8">
        <v>1</v>
      </c>
    </row>
    <row r="79" spans="1:14" x14ac:dyDescent="0.2">
      <c r="A79" s="12" t="s">
        <v>134</v>
      </c>
      <c r="B79" s="18" t="s">
        <v>24</v>
      </c>
      <c r="C79" s="18" t="s">
        <v>22</v>
      </c>
      <c r="D79" s="8">
        <v>0</v>
      </c>
      <c r="E79" s="8">
        <v>0</v>
      </c>
      <c r="F79" s="8">
        <v>0</v>
      </c>
      <c r="G79" s="8">
        <v>0</v>
      </c>
      <c r="H79" s="8">
        <v>0</v>
      </c>
      <c r="I79" s="8">
        <v>0</v>
      </c>
      <c r="J79" s="8">
        <v>0</v>
      </c>
      <c r="K79" s="8">
        <v>0</v>
      </c>
      <c r="L79" s="8">
        <v>0</v>
      </c>
      <c r="M79" s="8">
        <v>0</v>
      </c>
      <c r="N79" s="8">
        <v>0</v>
      </c>
    </row>
    <row r="80" spans="1:14" x14ac:dyDescent="0.2">
      <c r="A80" s="12" t="s">
        <v>135</v>
      </c>
      <c r="B80" s="18" t="s">
        <v>35</v>
      </c>
      <c r="C80" s="18" t="s">
        <v>33</v>
      </c>
      <c r="D80" s="8">
        <v>1</v>
      </c>
      <c r="E80" s="8">
        <v>0</v>
      </c>
      <c r="F80" s="8">
        <v>0</v>
      </c>
      <c r="G80" s="8">
        <v>1</v>
      </c>
      <c r="H80" s="8">
        <v>0</v>
      </c>
      <c r="I80" s="8">
        <v>0</v>
      </c>
      <c r="J80" s="8">
        <v>0</v>
      </c>
      <c r="K80" s="8">
        <v>0</v>
      </c>
      <c r="L80" s="8">
        <v>0</v>
      </c>
      <c r="M80" s="8">
        <v>0</v>
      </c>
      <c r="N80" s="8">
        <v>1</v>
      </c>
    </row>
    <row r="81" spans="1:14" x14ac:dyDescent="0.2">
      <c r="A81" s="12" t="s">
        <v>136</v>
      </c>
      <c r="B81" s="18" t="s">
        <v>35</v>
      </c>
      <c r="C81" s="18" t="s">
        <v>33</v>
      </c>
      <c r="D81" s="8">
        <v>0</v>
      </c>
      <c r="E81" s="8">
        <v>0</v>
      </c>
      <c r="F81" s="8">
        <v>0</v>
      </c>
      <c r="G81" s="8">
        <v>0</v>
      </c>
      <c r="H81" s="8">
        <v>0</v>
      </c>
      <c r="I81" s="8">
        <v>0</v>
      </c>
      <c r="J81" s="8">
        <v>0</v>
      </c>
      <c r="K81" s="8">
        <v>0</v>
      </c>
      <c r="L81" s="8">
        <v>0</v>
      </c>
      <c r="M81" s="8">
        <v>0</v>
      </c>
      <c r="N81" s="8">
        <v>0</v>
      </c>
    </row>
    <row r="82" spans="1:14" x14ac:dyDescent="0.2">
      <c r="A82" s="12" t="s">
        <v>137</v>
      </c>
      <c r="B82" s="18" t="s">
        <v>40</v>
      </c>
      <c r="C82" s="18" t="s">
        <v>33</v>
      </c>
      <c r="D82" s="8">
        <v>0</v>
      </c>
      <c r="E82" s="8">
        <v>0</v>
      </c>
      <c r="F82" s="8">
        <v>0</v>
      </c>
      <c r="G82" s="8">
        <v>0</v>
      </c>
      <c r="H82" s="8">
        <v>0</v>
      </c>
      <c r="I82" s="8">
        <v>0</v>
      </c>
      <c r="J82" s="8">
        <v>0</v>
      </c>
      <c r="K82" s="8">
        <v>0</v>
      </c>
      <c r="L82" s="8">
        <v>0</v>
      </c>
      <c r="M82" s="8">
        <v>0</v>
      </c>
      <c r="N82" s="8">
        <v>0</v>
      </c>
    </row>
    <row r="83" spans="1:14" x14ac:dyDescent="0.2">
      <c r="A83" s="12" t="s">
        <v>138</v>
      </c>
      <c r="B83" s="18" t="s">
        <v>24</v>
      </c>
      <c r="C83" s="18" t="s">
        <v>22</v>
      </c>
      <c r="D83" s="8">
        <v>1</v>
      </c>
      <c r="E83" s="8">
        <v>1</v>
      </c>
      <c r="F83" s="8">
        <v>0</v>
      </c>
      <c r="G83" s="8">
        <v>0</v>
      </c>
      <c r="H83" s="8">
        <v>0</v>
      </c>
      <c r="I83" s="8">
        <v>0</v>
      </c>
      <c r="J83" s="8">
        <v>0</v>
      </c>
      <c r="K83" s="8">
        <v>0</v>
      </c>
      <c r="L83" s="8">
        <v>0</v>
      </c>
      <c r="M83" s="8">
        <v>0</v>
      </c>
      <c r="N83" s="8">
        <v>1</v>
      </c>
    </row>
    <row r="84" spans="1:14" x14ac:dyDescent="0.2">
      <c r="A84" s="12" t="s">
        <v>139</v>
      </c>
      <c r="B84" s="18" t="s">
        <v>24</v>
      </c>
      <c r="C84" s="18" t="s">
        <v>22</v>
      </c>
      <c r="D84" s="8">
        <v>0</v>
      </c>
      <c r="E84" s="8">
        <v>0</v>
      </c>
      <c r="F84" s="8">
        <v>0</v>
      </c>
      <c r="G84" s="8">
        <v>0</v>
      </c>
      <c r="H84" s="8">
        <v>0</v>
      </c>
      <c r="I84" s="8">
        <v>0</v>
      </c>
      <c r="J84" s="8">
        <v>0</v>
      </c>
      <c r="K84" s="8">
        <v>0</v>
      </c>
      <c r="L84" s="8">
        <v>0</v>
      </c>
      <c r="M84" s="8">
        <v>0</v>
      </c>
      <c r="N84" s="8">
        <v>0</v>
      </c>
    </row>
    <row r="85" spans="1:14" x14ac:dyDescent="0.2">
      <c r="A85" s="12" t="s">
        <v>140</v>
      </c>
      <c r="B85" s="18" t="s">
        <v>24</v>
      </c>
      <c r="C85" s="18" t="s">
        <v>22</v>
      </c>
      <c r="D85" s="8">
        <v>2</v>
      </c>
      <c r="E85" s="8">
        <v>1</v>
      </c>
      <c r="F85" s="8">
        <v>1</v>
      </c>
      <c r="G85" s="8">
        <v>0</v>
      </c>
      <c r="H85" s="8">
        <v>0</v>
      </c>
      <c r="I85" s="8">
        <v>0</v>
      </c>
      <c r="J85" s="8">
        <v>0</v>
      </c>
      <c r="K85" s="8">
        <v>0</v>
      </c>
      <c r="L85" s="8">
        <v>0</v>
      </c>
      <c r="M85" s="8">
        <v>0</v>
      </c>
      <c r="N85" s="8">
        <v>1</v>
      </c>
    </row>
    <row r="86" spans="1:14" x14ac:dyDescent="0.2">
      <c r="A86" s="12" t="s">
        <v>141</v>
      </c>
      <c r="B86" s="18" t="s">
        <v>35</v>
      </c>
      <c r="C86" s="18" t="s">
        <v>33</v>
      </c>
      <c r="D86" s="8">
        <v>0</v>
      </c>
      <c r="E86" s="8">
        <v>0</v>
      </c>
      <c r="F86" s="8">
        <v>0</v>
      </c>
      <c r="G86" s="8">
        <v>0</v>
      </c>
      <c r="H86" s="8">
        <v>0</v>
      </c>
      <c r="I86" s="8">
        <v>0</v>
      </c>
      <c r="J86" s="8">
        <v>0</v>
      </c>
      <c r="K86" s="8">
        <v>0</v>
      </c>
      <c r="L86" s="8">
        <v>0</v>
      </c>
      <c r="M86" s="8">
        <v>0</v>
      </c>
      <c r="N86" s="8">
        <v>0</v>
      </c>
    </row>
    <row r="87" spans="1:14" x14ac:dyDescent="0.2">
      <c r="A87" s="12" t="s">
        <v>142</v>
      </c>
      <c r="B87" s="18" t="s">
        <v>35</v>
      </c>
      <c r="C87" s="18" t="s">
        <v>33</v>
      </c>
      <c r="D87" s="8">
        <v>0</v>
      </c>
      <c r="E87" s="8">
        <v>0</v>
      </c>
      <c r="F87" s="8">
        <v>0</v>
      </c>
      <c r="G87" s="8">
        <v>0</v>
      </c>
      <c r="H87" s="8">
        <v>0</v>
      </c>
      <c r="I87" s="8">
        <v>0</v>
      </c>
      <c r="J87" s="8">
        <v>0</v>
      </c>
      <c r="K87" s="8">
        <v>0</v>
      </c>
      <c r="L87" s="8">
        <v>0</v>
      </c>
      <c r="M87" s="8">
        <v>0</v>
      </c>
      <c r="N87" s="8">
        <v>0</v>
      </c>
    </row>
    <row r="88" spans="1:14" x14ac:dyDescent="0.2">
      <c r="A88" s="12" t="s">
        <v>143</v>
      </c>
      <c r="B88" s="18" t="s">
        <v>463</v>
      </c>
      <c r="C88" s="18" t="s">
        <v>33</v>
      </c>
      <c r="D88" s="8">
        <v>0</v>
      </c>
      <c r="E88" s="8">
        <v>0</v>
      </c>
      <c r="F88" s="8">
        <v>0</v>
      </c>
      <c r="G88" s="8">
        <v>0</v>
      </c>
      <c r="H88" s="8">
        <v>0</v>
      </c>
      <c r="I88" s="8">
        <v>0</v>
      </c>
      <c r="J88" s="8">
        <v>0</v>
      </c>
      <c r="K88" s="8">
        <v>0</v>
      </c>
      <c r="L88" s="8">
        <v>0</v>
      </c>
      <c r="M88" s="8">
        <v>0</v>
      </c>
      <c r="N88" s="8">
        <v>0</v>
      </c>
    </row>
    <row r="89" spans="1:14" x14ac:dyDescent="0.2">
      <c r="A89" s="12" t="s">
        <v>144</v>
      </c>
      <c r="B89" s="18" t="s">
        <v>18</v>
      </c>
      <c r="C89" s="18" t="s">
        <v>15</v>
      </c>
      <c r="D89" s="8">
        <v>2</v>
      </c>
      <c r="E89" s="8">
        <v>0</v>
      </c>
      <c r="F89" s="8">
        <v>0</v>
      </c>
      <c r="G89" s="8">
        <v>2</v>
      </c>
      <c r="H89" s="8">
        <v>0</v>
      </c>
      <c r="I89" s="8">
        <v>0</v>
      </c>
      <c r="J89" s="8">
        <v>0</v>
      </c>
      <c r="K89" s="8">
        <v>0</v>
      </c>
      <c r="L89" s="8">
        <v>0</v>
      </c>
      <c r="M89" s="8">
        <v>0</v>
      </c>
      <c r="N89" s="8">
        <v>1</v>
      </c>
    </row>
    <row r="90" spans="1:14" x14ac:dyDescent="0.2">
      <c r="A90" s="12" t="s">
        <v>145</v>
      </c>
      <c r="B90" s="18" t="s">
        <v>24</v>
      </c>
      <c r="C90" s="18" t="s">
        <v>22</v>
      </c>
      <c r="D90" s="8">
        <v>0</v>
      </c>
      <c r="E90" s="8">
        <v>0</v>
      </c>
      <c r="F90" s="8">
        <v>0</v>
      </c>
      <c r="G90" s="8">
        <v>0</v>
      </c>
      <c r="H90" s="8">
        <v>0</v>
      </c>
      <c r="I90" s="8">
        <v>0</v>
      </c>
      <c r="J90" s="8">
        <v>0</v>
      </c>
      <c r="K90" s="8">
        <v>0</v>
      </c>
      <c r="L90" s="8">
        <v>0</v>
      </c>
      <c r="M90" s="8">
        <v>0</v>
      </c>
      <c r="N90" s="8">
        <v>0</v>
      </c>
    </row>
    <row r="91" spans="1:14" x14ac:dyDescent="0.2">
      <c r="A91" s="12" t="s">
        <v>146</v>
      </c>
      <c r="B91" s="18" t="s">
        <v>18</v>
      </c>
      <c r="C91" s="18" t="s">
        <v>15</v>
      </c>
      <c r="D91" s="8">
        <v>0</v>
      </c>
      <c r="E91" s="8">
        <v>0</v>
      </c>
      <c r="F91" s="8">
        <v>0</v>
      </c>
      <c r="G91" s="8">
        <v>0</v>
      </c>
      <c r="H91" s="8">
        <v>0</v>
      </c>
      <c r="I91" s="8">
        <v>0</v>
      </c>
      <c r="J91" s="8">
        <v>0</v>
      </c>
      <c r="K91" s="8">
        <v>0</v>
      </c>
      <c r="L91" s="8">
        <v>0</v>
      </c>
      <c r="M91" s="8">
        <v>0</v>
      </c>
      <c r="N91" s="8">
        <v>0</v>
      </c>
    </row>
    <row r="92" spans="1:14" x14ac:dyDescent="0.2">
      <c r="A92" s="12" t="s">
        <v>147</v>
      </c>
      <c r="B92" s="18" t="s">
        <v>34</v>
      </c>
      <c r="C92" s="18" t="s">
        <v>33</v>
      </c>
      <c r="D92" s="8">
        <v>0</v>
      </c>
      <c r="E92" s="8">
        <v>0</v>
      </c>
      <c r="F92" s="8">
        <v>0</v>
      </c>
      <c r="G92" s="8">
        <v>0</v>
      </c>
      <c r="H92" s="8">
        <v>0</v>
      </c>
      <c r="I92" s="8">
        <v>0</v>
      </c>
      <c r="J92" s="8">
        <v>0</v>
      </c>
      <c r="K92" s="8">
        <v>0</v>
      </c>
      <c r="L92" s="8">
        <v>0</v>
      </c>
      <c r="M92" s="8">
        <v>0</v>
      </c>
      <c r="N92" s="8">
        <v>0</v>
      </c>
    </row>
    <row r="93" spans="1:14" x14ac:dyDescent="0.2">
      <c r="A93" s="12" t="s">
        <v>148</v>
      </c>
      <c r="B93" s="18" t="s">
        <v>35</v>
      </c>
      <c r="C93" s="18" t="s">
        <v>33</v>
      </c>
      <c r="D93" s="8">
        <v>0</v>
      </c>
      <c r="E93" s="8">
        <v>0</v>
      </c>
      <c r="F93" s="8">
        <v>0</v>
      </c>
      <c r="G93" s="8">
        <v>0</v>
      </c>
      <c r="H93" s="8">
        <v>0</v>
      </c>
      <c r="I93" s="8">
        <v>0</v>
      </c>
      <c r="J93" s="8">
        <v>0</v>
      </c>
      <c r="K93" s="8">
        <v>0</v>
      </c>
      <c r="L93" s="8">
        <v>0</v>
      </c>
      <c r="M93" s="8">
        <v>0</v>
      </c>
      <c r="N93" s="8">
        <v>0</v>
      </c>
    </row>
    <row r="94" spans="1:14" x14ac:dyDescent="0.2">
      <c r="A94" s="12" t="s">
        <v>149</v>
      </c>
      <c r="B94" s="19" t="s">
        <v>17</v>
      </c>
      <c r="C94" s="19" t="s">
        <v>15</v>
      </c>
      <c r="D94" s="8">
        <v>0</v>
      </c>
      <c r="E94" s="8">
        <v>0</v>
      </c>
      <c r="F94" s="8">
        <v>0</v>
      </c>
      <c r="G94" s="8">
        <v>0</v>
      </c>
      <c r="H94" s="8">
        <v>0</v>
      </c>
      <c r="I94" s="8">
        <v>0</v>
      </c>
      <c r="J94" s="8">
        <v>0</v>
      </c>
      <c r="K94" s="8">
        <v>0</v>
      </c>
      <c r="L94" s="8">
        <v>0</v>
      </c>
      <c r="M94" s="8">
        <v>0</v>
      </c>
      <c r="N94" s="8">
        <v>0</v>
      </c>
    </row>
    <row r="95" spans="1:14" x14ac:dyDescent="0.2">
      <c r="A95" s="12" t="s">
        <v>150</v>
      </c>
      <c r="B95" s="18" t="s">
        <v>23</v>
      </c>
      <c r="C95" s="18" t="s">
        <v>22</v>
      </c>
      <c r="D95" s="8">
        <v>0</v>
      </c>
      <c r="E95" s="8">
        <v>0</v>
      </c>
      <c r="F95" s="8">
        <v>0</v>
      </c>
      <c r="G95" s="8">
        <v>0</v>
      </c>
      <c r="H95" s="8">
        <v>0</v>
      </c>
      <c r="I95" s="8">
        <v>0</v>
      </c>
      <c r="J95" s="8">
        <v>0</v>
      </c>
      <c r="K95" s="8">
        <v>0</v>
      </c>
      <c r="L95" s="8">
        <v>0</v>
      </c>
      <c r="M95" s="8">
        <v>0</v>
      </c>
      <c r="N95" s="8">
        <v>0</v>
      </c>
    </row>
    <row r="96" spans="1:14" x14ac:dyDescent="0.2">
      <c r="A96" s="12" t="s">
        <v>151</v>
      </c>
      <c r="B96" s="18" t="s">
        <v>23</v>
      </c>
      <c r="C96" s="18" t="s">
        <v>22</v>
      </c>
      <c r="D96" s="8">
        <v>0</v>
      </c>
      <c r="E96" s="8">
        <v>0</v>
      </c>
      <c r="F96" s="8">
        <v>0</v>
      </c>
      <c r="G96" s="8">
        <v>0</v>
      </c>
      <c r="H96" s="8">
        <v>0</v>
      </c>
      <c r="I96" s="8">
        <v>0</v>
      </c>
      <c r="J96" s="8">
        <v>0</v>
      </c>
      <c r="K96" s="8">
        <v>0</v>
      </c>
      <c r="L96" s="8">
        <v>0</v>
      </c>
      <c r="M96" s="8">
        <v>0</v>
      </c>
      <c r="N96" s="8">
        <v>0</v>
      </c>
    </row>
    <row r="97" spans="1:14" x14ac:dyDescent="0.2">
      <c r="A97" s="12" t="s">
        <v>152</v>
      </c>
      <c r="B97" s="18" t="s">
        <v>18</v>
      </c>
      <c r="C97" s="18" t="s">
        <v>15</v>
      </c>
      <c r="D97" s="8">
        <v>0</v>
      </c>
      <c r="E97" s="8">
        <v>0</v>
      </c>
      <c r="F97" s="8">
        <v>0</v>
      </c>
      <c r="G97" s="8">
        <v>0</v>
      </c>
      <c r="H97" s="8">
        <v>0</v>
      </c>
      <c r="I97" s="8">
        <v>0</v>
      </c>
      <c r="J97" s="8">
        <v>0</v>
      </c>
      <c r="K97" s="8">
        <v>0</v>
      </c>
      <c r="L97" s="8">
        <v>0</v>
      </c>
      <c r="M97" s="8">
        <v>0</v>
      </c>
      <c r="N97" s="8">
        <v>0</v>
      </c>
    </row>
    <row r="98" spans="1:14" x14ac:dyDescent="0.2">
      <c r="A98" s="12" t="s">
        <v>153</v>
      </c>
      <c r="B98" s="18" t="s">
        <v>463</v>
      </c>
      <c r="C98" s="18" t="s">
        <v>33</v>
      </c>
      <c r="D98" s="8">
        <v>0</v>
      </c>
      <c r="E98" s="8">
        <v>0</v>
      </c>
      <c r="F98" s="8">
        <v>0</v>
      </c>
      <c r="G98" s="8">
        <v>0</v>
      </c>
      <c r="H98" s="8">
        <v>0</v>
      </c>
      <c r="I98" s="8">
        <v>0</v>
      </c>
      <c r="J98" s="8">
        <v>0</v>
      </c>
      <c r="K98" s="8">
        <v>0</v>
      </c>
      <c r="L98" s="8">
        <v>0</v>
      </c>
      <c r="M98" s="8">
        <v>0</v>
      </c>
      <c r="N98" s="8">
        <v>0</v>
      </c>
    </row>
    <row r="99" spans="1:14" x14ac:dyDescent="0.2">
      <c r="A99" s="12" t="s">
        <v>154</v>
      </c>
      <c r="B99" s="18" t="s">
        <v>35</v>
      </c>
      <c r="C99" s="18" t="s">
        <v>33</v>
      </c>
      <c r="D99" s="8">
        <v>0</v>
      </c>
      <c r="E99" s="8">
        <v>0</v>
      </c>
      <c r="F99" s="8">
        <v>0</v>
      </c>
      <c r="G99" s="8">
        <v>0</v>
      </c>
      <c r="H99" s="8">
        <v>0</v>
      </c>
      <c r="I99" s="8">
        <v>0</v>
      </c>
      <c r="J99" s="8">
        <v>0</v>
      </c>
      <c r="K99" s="8">
        <v>0</v>
      </c>
      <c r="L99" s="8">
        <v>0</v>
      </c>
      <c r="M99" s="8">
        <v>0</v>
      </c>
      <c r="N99" s="8">
        <v>0</v>
      </c>
    </row>
    <row r="100" spans="1:14" x14ac:dyDescent="0.2">
      <c r="A100" s="12" t="s">
        <v>155</v>
      </c>
      <c r="B100" s="18" t="s">
        <v>24</v>
      </c>
      <c r="C100" s="18" t="s">
        <v>22</v>
      </c>
      <c r="D100" s="8">
        <v>2</v>
      </c>
      <c r="E100" s="8">
        <v>1</v>
      </c>
      <c r="F100" s="8">
        <v>0</v>
      </c>
      <c r="G100" s="8">
        <v>0</v>
      </c>
      <c r="H100" s="8">
        <v>0</v>
      </c>
      <c r="I100" s="8">
        <v>0</v>
      </c>
      <c r="J100" s="8">
        <v>0</v>
      </c>
      <c r="K100" s="8">
        <v>0</v>
      </c>
      <c r="L100" s="8">
        <v>0</v>
      </c>
      <c r="M100" s="8">
        <v>1</v>
      </c>
      <c r="N100" s="8">
        <v>1</v>
      </c>
    </row>
    <row r="101" spans="1:14" x14ac:dyDescent="0.2">
      <c r="A101" s="12" t="s">
        <v>156</v>
      </c>
      <c r="B101" s="18" t="s">
        <v>24</v>
      </c>
      <c r="C101" s="18" t="s">
        <v>22</v>
      </c>
      <c r="D101" s="8">
        <v>1</v>
      </c>
      <c r="E101" s="8">
        <v>1</v>
      </c>
      <c r="F101" s="8">
        <v>0</v>
      </c>
      <c r="G101" s="8">
        <v>0</v>
      </c>
      <c r="H101" s="8">
        <v>0</v>
      </c>
      <c r="I101" s="8">
        <v>0</v>
      </c>
      <c r="J101" s="8">
        <v>0</v>
      </c>
      <c r="K101" s="8">
        <v>0</v>
      </c>
      <c r="L101" s="8">
        <v>0</v>
      </c>
      <c r="M101" s="8">
        <v>0</v>
      </c>
      <c r="N101" s="8">
        <v>1</v>
      </c>
    </row>
    <row r="102" spans="1:14" x14ac:dyDescent="0.2">
      <c r="A102" s="12" t="s">
        <v>157</v>
      </c>
      <c r="B102" s="18" t="s">
        <v>24</v>
      </c>
      <c r="C102" s="18" t="s">
        <v>22</v>
      </c>
      <c r="D102" s="8">
        <v>2</v>
      </c>
      <c r="E102" s="8">
        <v>1</v>
      </c>
      <c r="F102" s="8">
        <v>0</v>
      </c>
      <c r="G102" s="8">
        <v>0</v>
      </c>
      <c r="H102" s="8">
        <v>0</v>
      </c>
      <c r="I102" s="8">
        <v>0</v>
      </c>
      <c r="J102" s="8">
        <v>0</v>
      </c>
      <c r="K102" s="8">
        <v>0</v>
      </c>
      <c r="L102" s="8">
        <v>0</v>
      </c>
      <c r="M102" s="8">
        <v>1</v>
      </c>
      <c r="N102" s="8">
        <v>1</v>
      </c>
    </row>
    <row r="103" spans="1:14" x14ac:dyDescent="0.2">
      <c r="A103" s="12" t="s">
        <v>158</v>
      </c>
      <c r="B103" s="18" t="s">
        <v>24</v>
      </c>
      <c r="C103" s="18" t="s">
        <v>22</v>
      </c>
      <c r="D103" s="8">
        <v>0</v>
      </c>
      <c r="E103" s="8">
        <v>0</v>
      </c>
      <c r="F103" s="8">
        <v>0</v>
      </c>
      <c r="G103" s="8">
        <v>0</v>
      </c>
      <c r="H103" s="8">
        <v>0</v>
      </c>
      <c r="I103" s="8">
        <v>0</v>
      </c>
      <c r="J103" s="8">
        <v>0</v>
      </c>
      <c r="K103" s="8">
        <v>0</v>
      </c>
      <c r="L103" s="8">
        <v>0</v>
      </c>
      <c r="M103" s="8">
        <v>0</v>
      </c>
      <c r="N103" s="8">
        <v>0</v>
      </c>
    </row>
    <row r="104" spans="1:14" x14ac:dyDescent="0.2">
      <c r="A104" s="12" t="s">
        <v>159</v>
      </c>
      <c r="B104" s="18" t="s">
        <v>24</v>
      </c>
      <c r="C104" s="18" t="s">
        <v>22</v>
      </c>
      <c r="D104" s="8">
        <v>2</v>
      </c>
      <c r="E104" s="8">
        <v>1</v>
      </c>
      <c r="F104" s="8">
        <v>0</v>
      </c>
      <c r="G104" s="8">
        <v>1</v>
      </c>
      <c r="H104" s="8">
        <v>0</v>
      </c>
      <c r="I104" s="8">
        <v>0</v>
      </c>
      <c r="J104" s="8">
        <v>0</v>
      </c>
      <c r="K104" s="8">
        <v>0</v>
      </c>
      <c r="L104" s="8">
        <v>0</v>
      </c>
      <c r="M104" s="8">
        <v>0</v>
      </c>
      <c r="N104" s="8">
        <v>1</v>
      </c>
    </row>
    <row r="105" spans="1:14" x14ac:dyDescent="0.2">
      <c r="A105" s="12" t="s">
        <v>160</v>
      </c>
      <c r="B105" s="18" t="s">
        <v>24</v>
      </c>
      <c r="C105" s="18" t="s">
        <v>22</v>
      </c>
      <c r="D105" s="8">
        <v>6</v>
      </c>
      <c r="E105" s="8">
        <v>2</v>
      </c>
      <c r="F105" s="8">
        <v>0</v>
      </c>
      <c r="G105" s="8">
        <v>3</v>
      </c>
      <c r="H105" s="8">
        <v>0</v>
      </c>
      <c r="I105" s="8">
        <v>0</v>
      </c>
      <c r="J105" s="8">
        <v>0</v>
      </c>
      <c r="K105" s="8">
        <v>0</v>
      </c>
      <c r="L105" s="8">
        <v>0</v>
      </c>
      <c r="M105" s="8">
        <v>1</v>
      </c>
      <c r="N105" s="8">
        <v>1</v>
      </c>
    </row>
    <row r="106" spans="1:14" x14ac:dyDescent="0.2">
      <c r="A106" s="12" t="s">
        <v>161</v>
      </c>
      <c r="B106" s="18" t="s">
        <v>24</v>
      </c>
      <c r="C106" s="18" t="s">
        <v>22</v>
      </c>
      <c r="D106" s="8">
        <v>0</v>
      </c>
      <c r="E106" s="8">
        <v>0</v>
      </c>
      <c r="F106" s="8">
        <v>0</v>
      </c>
      <c r="G106" s="8">
        <v>0</v>
      </c>
      <c r="H106" s="8">
        <v>0</v>
      </c>
      <c r="I106" s="8">
        <v>0</v>
      </c>
      <c r="J106" s="8">
        <v>0</v>
      </c>
      <c r="K106" s="8">
        <v>0</v>
      </c>
      <c r="L106" s="8">
        <v>0</v>
      </c>
      <c r="M106" s="8">
        <v>0</v>
      </c>
      <c r="N106" s="8">
        <v>0</v>
      </c>
    </row>
    <row r="107" spans="1:14" x14ac:dyDescent="0.2">
      <c r="A107" s="12" t="s">
        <v>162</v>
      </c>
      <c r="B107" s="18" t="s">
        <v>24</v>
      </c>
      <c r="C107" s="18" t="s">
        <v>22</v>
      </c>
      <c r="D107" s="8">
        <v>5</v>
      </c>
      <c r="E107" s="8">
        <v>3</v>
      </c>
      <c r="F107" s="8">
        <v>0</v>
      </c>
      <c r="G107" s="8">
        <v>1</v>
      </c>
      <c r="H107" s="8">
        <v>0</v>
      </c>
      <c r="I107" s="8">
        <v>0</v>
      </c>
      <c r="J107" s="8">
        <v>0</v>
      </c>
      <c r="K107" s="8">
        <v>0</v>
      </c>
      <c r="L107" s="8">
        <v>0</v>
      </c>
      <c r="M107" s="8">
        <v>1</v>
      </c>
      <c r="N107" s="8">
        <v>1</v>
      </c>
    </row>
    <row r="108" spans="1:14" x14ac:dyDescent="0.2">
      <c r="A108" s="12" t="s">
        <v>163</v>
      </c>
      <c r="B108" s="18" t="s">
        <v>24</v>
      </c>
      <c r="C108" s="18" t="s">
        <v>22</v>
      </c>
      <c r="D108" s="8">
        <v>2</v>
      </c>
      <c r="E108" s="8">
        <v>1</v>
      </c>
      <c r="F108" s="8">
        <v>0</v>
      </c>
      <c r="G108" s="8">
        <v>0</v>
      </c>
      <c r="H108" s="8">
        <v>0</v>
      </c>
      <c r="I108" s="8">
        <v>0</v>
      </c>
      <c r="J108" s="8">
        <v>0</v>
      </c>
      <c r="K108" s="8">
        <v>0</v>
      </c>
      <c r="L108" s="8">
        <v>0</v>
      </c>
      <c r="M108" s="8">
        <v>1</v>
      </c>
      <c r="N108" s="8">
        <v>1</v>
      </c>
    </row>
    <row r="109" spans="1:14" x14ac:dyDescent="0.2">
      <c r="A109" s="12" t="s">
        <v>164</v>
      </c>
      <c r="B109" s="18" t="s">
        <v>24</v>
      </c>
      <c r="C109" s="18" t="s">
        <v>22</v>
      </c>
      <c r="D109" s="8">
        <v>2</v>
      </c>
      <c r="E109" s="8">
        <v>2</v>
      </c>
      <c r="F109" s="8">
        <v>0</v>
      </c>
      <c r="G109" s="8">
        <v>0</v>
      </c>
      <c r="H109" s="8">
        <v>0</v>
      </c>
      <c r="I109" s="8">
        <v>0</v>
      </c>
      <c r="J109" s="8">
        <v>0</v>
      </c>
      <c r="K109" s="8">
        <v>0</v>
      </c>
      <c r="L109" s="8">
        <v>0</v>
      </c>
      <c r="M109" s="8">
        <v>0</v>
      </c>
      <c r="N109" s="8">
        <v>1</v>
      </c>
    </row>
    <row r="110" spans="1:14" x14ac:dyDescent="0.2">
      <c r="A110" s="12" t="s">
        <v>165</v>
      </c>
      <c r="B110" s="18" t="s">
        <v>24</v>
      </c>
      <c r="C110" s="18" t="s">
        <v>22</v>
      </c>
      <c r="D110" s="8">
        <v>2</v>
      </c>
      <c r="E110" s="8">
        <v>2</v>
      </c>
      <c r="F110" s="8">
        <v>0</v>
      </c>
      <c r="G110" s="8">
        <v>0</v>
      </c>
      <c r="H110" s="8">
        <v>0</v>
      </c>
      <c r="I110" s="8">
        <v>0</v>
      </c>
      <c r="J110" s="8">
        <v>0</v>
      </c>
      <c r="K110" s="8">
        <v>0</v>
      </c>
      <c r="L110" s="8">
        <v>0</v>
      </c>
      <c r="M110" s="8">
        <v>0</v>
      </c>
      <c r="N110" s="8">
        <v>1</v>
      </c>
    </row>
    <row r="111" spans="1:14" x14ac:dyDescent="0.2">
      <c r="A111" s="12" t="s">
        <v>166</v>
      </c>
      <c r="B111" s="18" t="s">
        <v>24</v>
      </c>
      <c r="C111" s="18" t="s">
        <v>22</v>
      </c>
      <c r="D111" s="8">
        <v>5</v>
      </c>
      <c r="E111" s="8">
        <v>3</v>
      </c>
      <c r="F111" s="8">
        <v>0</v>
      </c>
      <c r="G111" s="8">
        <v>1</v>
      </c>
      <c r="H111" s="8">
        <v>0</v>
      </c>
      <c r="I111" s="8">
        <v>0</v>
      </c>
      <c r="J111" s="8">
        <v>0</v>
      </c>
      <c r="K111" s="8">
        <v>0</v>
      </c>
      <c r="L111" s="8">
        <v>0</v>
      </c>
      <c r="M111" s="8">
        <v>1</v>
      </c>
      <c r="N111" s="8">
        <v>1</v>
      </c>
    </row>
    <row r="112" spans="1:14" x14ac:dyDescent="0.2">
      <c r="A112" s="12" t="s">
        <v>167</v>
      </c>
      <c r="B112" s="18" t="s">
        <v>24</v>
      </c>
      <c r="C112" s="18" t="s">
        <v>22</v>
      </c>
      <c r="D112" s="8">
        <v>2</v>
      </c>
      <c r="E112" s="8">
        <v>1</v>
      </c>
      <c r="F112" s="8">
        <v>0</v>
      </c>
      <c r="G112" s="8">
        <v>0</v>
      </c>
      <c r="H112" s="8">
        <v>0</v>
      </c>
      <c r="I112" s="8">
        <v>1</v>
      </c>
      <c r="J112" s="8">
        <v>0</v>
      </c>
      <c r="K112" s="8">
        <v>0</v>
      </c>
      <c r="L112" s="8">
        <v>0</v>
      </c>
      <c r="M112" s="8">
        <v>0</v>
      </c>
      <c r="N112" s="8">
        <v>1</v>
      </c>
    </row>
    <row r="113" spans="1:14" x14ac:dyDescent="0.2">
      <c r="A113" s="12" t="s">
        <v>168</v>
      </c>
      <c r="B113" s="18" t="s">
        <v>24</v>
      </c>
      <c r="C113" s="18" t="s">
        <v>22</v>
      </c>
      <c r="D113" s="8">
        <v>1</v>
      </c>
      <c r="E113" s="8">
        <v>0</v>
      </c>
      <c r="F113" s="8">
        <v>0</v>
      </c>
      <c r="G113" s="8">
        <v>1</v>
      </c>
      <c r="H113" s="8">
        <v>0</v>
      </c>
      <c r="I113" s="8">
        <v>0</v>
      </c>
      <c r="J113" s="8">
        <v>0</v>
      </c>
      <c r="K113" s="8">
        <v>0</v>
      </c>
      <c r="L113" s="8">
        <v>0</v>
      </c>
      <c r="M113" s="8">
        <v>0</v>
      </c>
      <c r="N113" s="8">
        <v>1</v>
      </c>
    </row>
    <row r="114" spans="1:14" x14ac:dyDescent="0.2">
      <c r="A114" s="12" t="s">
        <v>169</v>
      </c>
      <c r="B114" s="18" t="s">
        <v>24</v>
      </c>
      <c r="C114" s="18" t="s">
        <v>22</v>
      </c>
      <c r="D114" s="8">
        <v>1</v>
      </c>
      <c r="E114" s="8">
        <v>1</v>
      </c>
      <c r="F114" s="8">
        <v>0</v>
      </c>
      <c r="G114" s="8">
        <v>0</v>
      </c>
      <c r="H114" s="8">
        <v>0</v>
      </c>
      <c r="I114" s="8">
        <v>0</v>
      </c>
      <c r="J114" s="8">
        <v>0</v>
      </c>
      <c r="K114" s="8">
        <v>0</v>
      </c>
      <c r="L114" s="8">
        <v>0</v>
      </c>
      <c r="M114" s="8">
        <v>0</v>
      </c>
      <c r="N114" s="8">
        <v>1</v>
      </c>
    </row>
    <row r="115" spans="1:14" x14ac:dyDescent="0.2">
      <c r="A115" s="12" t="s">
        <v>170</v>
      </c>
      <c r="B115" s="18" t="s">
        <v>24</v>
      </c>
      <c r="C115" s="18" t="s">
        <v>22</v>
      </c>
      <c r="D115" s="8">
        <v>4</v>
      </c>
      <c r="E115" s="8">
        <v>1</v>
      </c>
      <c r="F115" s="8">
        <v>0</v>
      </c>
      <c r="G115" s="8">
        <v>1</v>
      </c>
      <c r="H115" s="8">
        <v>0</v>
      </c>
      <c r="I115" s="8">
        <v>1</v>
      </c>
      <c r="J115" s="8">
        <v>0</v>
      </c>
      <c r="K115" s="8">
        <v>0</v>
      </c>
      <c r="L115" s="8">
        <v>0</v>
      </c>
      <c r="M115" s="8">
        <v>1</v>
      </c>
      <c r="N115" s="8">
        <v>1</v>
      </c>
    </row>
    <row r="116" spans="1:14" x14ac:dyDescent="0.2">
      <c r="A116" s="12" t="s">
        <v>171</v>
      </c>
      <c r="B116" s="18" t="s">
        <v>24</v>
      </c>
      <c r="C116" s="18" t="s">
        <v>22</v>
      </c>
      <c r="D116" s="8">
        <v>1</v>
      </c>
      <c r="E116" s="8">
        <v>1</v>
      </c>
      <c r="F116" s="8">
        <v>0</v>
      </c>
      <c r="G116" s="8">
        <v>0</v>
      </c>
      <c r="H116" s="8">
        <v>0</v>
      </c>
      <c r="I116" s="8">
        <v>0</v>
      </c>
      <c r="J116" s="8">
        <v>0</v>
      </c>
      <c r="K116" s="8">
        <v>0</v>
      </c>
      <c r="L116" s="8">
        <v>0</v>
      </c>
      <c r="M116" s="8">
        <v>0</v>
      </c>
      <c r="N116" s="8">
        <v>1</v>
      </c>
    </row>
    <row r="117" spans="1:14" x14ac:dyDescent="0.2">
      <c r="A117" s="12" t="s">
        <v>172</v>
      </c>
      <c r="B117" s="18" t="s">
        <v>24</v>
      </c>
      <c r="C117" s="18" t="s">
        <v>22</v>
      </c>
      <c r="D117" s="8">
        <v>0</v>
      </c>
      <c r="E117" s="8">
        <v>0</v>
      </c>
      <c r="F117" s="8">
        <v>0</v>
      </c>
      <c r="G117" s="8">
        <v>0</v>
      </c>
      <c r="H117" s="8">
        <v>0</v>
      </c>
      <c r="I117" s="8">
        <v>0</v>
      </c>
      <c r="J117" s="8">
        <v>0</v>
      </c>
      <c r="K117" s="8">
        <v>0</v>
      </c>
      <c r="L117" s="8">
        <v>0</v>
      </c>
      <c r="M117" s="8">
        <v>0</v>
      </c>
      <c r="N117" s="8">
        <v>0</v>
      </c>
    </row>
    <row r="118" spans="1:14" x14ac:dyDescent="0.2">
      <c r="A118" s="12" t="s">
        <v>173</v>
      </c>
      <c r="B118" s="18" t="s">
        <v>24</v>
      </c>
      <c r="C118" s="18" t="s">
        <v>22</v>
      </c>
      <c r="D118" s="8">
        <v>0</v>
      </c>
      <c r="E118" s="8">
        <v>0</v>
      </c>
      <c r="F118" s="8">
        <v>0</v>
      </c>
      <c r="G118" s="8">
        <v>0</v>
      </c>
      <c r="H118" s="8">
        <v>0</v>
      </c>
      <c r="I118" s="8">
        <v>0</v>
      </c>
      <c r="J118" s="8">
        <v>0</v>
      </c>
      <c r="K118" s="8">
        <v>0</v>
      </c>
      <c r="L118" s="8">
        <v>0</v>
      </c>
      <c r="M118" s="8">
        <v>0</v>
      </c>
      <c r="N118" s="8">
        <v>0</v>
      </c>
    </row>
    <row r="119" spans="1:14" x14ac:dyDescent="0.2">
      <c r="A119" s="12" t="s">
        <v>174</v>
      </c>
      <c r="B119" s="18" t="s">
        <v>24</v>
      </c>
      <c r="C119" s="18" t="s">
        <v>22</v>
      </c>
      <c r="D119" s="8">
        <v>0</v>
      </c>
      <c r="E119" s="8">
        <v>0</v>
      </c>
      <c r="F119" s="8">
        <v>0</v>
      </c>
      <c r="G119" s="8">
        <v>0</v>
      </c>
      <c r="H119" s="8">
        <v>0</v>
      </c>
      <c r="I119" s="8">
        <v>0</v>
      </c>
      <c r="J119" s="8">
        <v>0</v>
      </c>
      <c r="K119" s="8">
        <v>0</v>
      </c>
      <c r="L119" s="8">
        <v>0</v>
      </c>
      <c r="M119" s="8">
        <v>0</v>
      </c>
      <c r="N119" s="8">
        <v>0</v>
      </c>
    </row>
    <row r="120" spans="1:14" x14ac:dyDescent="0.2">
      <c r="A120" s="12" t="s">
        <v>175</v>
      </c>
      <c r="B120" s="18" t="s">
        <v>12</v>
      </c>
      <c r="C120" s="18" t="s">
        <v>10</v>
      </c>
      <c r="D120" s="8">
        <v>3</v>
      </c>
      <c r="E120" s="8">
        <v>0</v>
      </c>
      <c r="F120" s="8">
        <v>3</v>
      </c>
      <c r="G120" s="8">
        <v>0</v>
      </c>
      <c r="H120" s="8">
        <v>0</v>
      </c>
      <c r="I120" s="8">
        <v>0</v>
      </c>
      <c r="J120" s="8">
        <v>0</v>
      </c>
      <c r="K120" s="8">
        <v>0</v>
      </c>
      <c r="L120" s="8">
        <v>0</v>
      </c>
      <c r="M120" s="8">
        <v>0</v>
      </c>
      <c r="N120" s="8">
        <v>1</v>
      </c>
    </row>
    <row r="121" spans="1:14" x14ac:dyDescent="0.2">
      <c r="A121" s="12" t="s">
        <v>176</v>
      </c>
      <c r="B121" s="18" t="s">
        <v>24</v>
      </c>
      <c r="C121" s="18" t="s">
        <v>22</v>
      </c>
      <c r="D121" s="8">
        <v>7</v>
      </c>
      <c r="E121" s="8">
        <v>4</v>
      </c>
      <c r="F121" s="8">
        <v>0</v>
      </c>
      <c r="G121" s="8">
        <v>0</v>
      </c>
      <c r="H121" s="8">
        <v>0</v>
      </c>
      <c r="I121" s="8">
        <v>0</v>
      </c>
      <c r="J121" s="8">
        <v>0</v>
      </c>
      <c r="K121" s="8">
        <v>0</v>
      </c>
      <c r="L121" s="8">
        <v>0</v>
      </c>
      <c r="M121" s="8">
        <v>3</v>
      </c>
      <c r="N121" s="8">
        <v>1</v>
      </c>
    </row>
    <row r="122" spans="1:14" x14ac:dyDescent="0.2">
      <c r="A122" s="12" t="s">
        <v>177</v>
      </c>
      <c r="B122" s="18" t="s">
        <v>24</v>
      </c>
      <c r="C122" s="18" t="s">
        <v>22</v>
      </c>
      <c r="D122" s="8">
        <v>0</v>
      </c>
      <c r="E122" s="8">
        <v>0</v>
      </c>
      <c r="F122" s="8">
        <v>0</v>
      </c>
      <c r="G122" s="8">
        <v>0</v>
      </c>
      <c r="H122" s="8">
        <v>0</v>
      </c>
      <c r="I122" s="8">
        <v>0</v>
      </c>
      <c r="J122" s="8">
        <v>0</v>
      </c>
      <c r="K122" s="8">
        <v>0</v>
      </c>
      <c r="L122" s="8">
        <v>0</v>
      </c>
      <c r="M122" s="8">
        <v>0</v>
      </c>
      <c r="N122" s="8">
        <v>0</v>
      </c>
    </row>
    <row r="123" spans="1:14" x14ac:dyDescent="0.2">
      <c r="A123" s="12" t="s">
        <v>178</v>
      </c>
      <c r="B123" s="18" t="s">
        <v>24</v>
      </c>
      <c r="C123" s="18" t="s">
        <v>22</v>
      </c>
      <c r="D123" s="8">
        <v>2</v>
      </c>
      <c r="E123" s="8">
        <v>1</v>
      </c>
      <c r="F123" s="8">
        <v>0</v>
      </c>
      <c r="G123" s="8">
        <v>0</v>
      </c>
      <c r="H123" s="8">
        <v>0</v>
      </c>
      <c r="I123" s="8">
        <v>0</v>
      </c>
      <c r="J123" s="8">
        <v>0</v>
      </c>
      <c r="K123" s="8">
        <v>0</v>
      </c>
      <c r="L123" s="8">
        <v>0</v>
      </c>
      <c r="M123" s="8">
        <v>1</v>
      </c>
      <c r="N123" s="8">
        <v>1</v>
      </c>
    </row>
    <row r="124" spans="1:14" x14ac:dyDescent="0.2">
      <c r="A124" s="12" t="s">
        <v>179</v>
      </c>
      <c r="B124" s="18" t="s">
        <v>24</v>
      </c>
      <c r="C124" s="18" t="s">
        <v>22</v>
      </c>
      <c r="D124" s="8">
        <v>0</v>
      </c>
      <c r="E124" s="8">
        <v>0</v>
      </c>
      <c r="F124" s="8">
        <v>0</v>
      </c>
      <c r="G124" s="8">
        <v>0</v>
      </c>
      <c r="H124" s="8">
        <v>0</v>
      </c>
      <c r="I124" s="8">
        <v>0</v>
      </c>
      <c r="J124" s="8">
        <v>0</v>
      </c>
      <c r="K124" s="8">
        <v>0</v>
      </c>
      <c r="L124" s="8">
        <v>0</v>
      </c>
      <c r="M124" s="8">
        <v>0</v>
      </c>
      <c r="N124" s="8">
        <v>0</v>
      </c>
    </row>
    <row r="125" spans="1:14" x14ac:dyDescent="0.2">
      <c r="A125" s="12" t="s">
        <v>180</v>
      </c>
      <c r="B125" s="18" t="s">
        <v>24</v>
      </c>
      <c r="C125" s="18" t="s">
        <v>22</v>
      </c>
      <c r="D125" s="8">
        <v>2</v>
      </c>
      <c r="E125" s="8">
        <v>2</v>
      </c>
      <c r="F125" s="8">
        <v>0</v>
      </c>
      <c r="G125" s="8">
        <v>0</v>
      </c>
      <c r="H125" s="8">
        <v>0</v>
      </c>
      <c r="I125" s="8">
        <v>0</v>
      </c>
      <c r="J125" s="8">
        <v>0</v>
      </c>
      <c r="K125" s="8">
        <v>0</v>
      </c>
      <c r="L125" s="8">
        <v>0</v>
      </c>
      <c r="M125" s="8">
        <v>0</v>
      </c>
      <c r="N125" s="8">
        <v>1</v>
      </c>
    </row>
    <row r="126" spans="1:14" x14ac:dyDescent="0.2">
      <c r="A126" s="12" t="s">
        <v>181</v>
      </c>
      <c r="B126" s="18" t="s">
        <v>24</v>
      </c>
      <c r="C126" s="18" t="s">
        <v>22</v>
      </c>
      <c r="D126" s="8">
        <v>1</v>
      </c>
      <c r="E126" s="8">
        <v>0</v>
      </c>
      <c r="F126" s="8">
        <v>0</v>
      </c>
      <c r="G126" s="8">
        <v>0</v>
      </c>
      <c r="H126" s="8">
        <v>0</v>
      </c>
      <c r="I126" s="8">
        <v>0</v>
      </c>
      <c r="J126" s="8">
        <v>0</v>
      </c>
      <c r="K126" s="8">
        <v>0</v>
      </c>
      <c r="L126" s="8">
        <v>0</v>
      </c>
      <c r="M126" s="8">
        <v>1</v>
      </c>
      <c r="N126" s="8">
        <v>1</v>
      </c>
    </row>
    <row r="127" spans="1:14" x14ac:dyDescent="0.2">
      <c r="A127" s="12" t="s">
        <v>182</v>
      </c>
      <c r="B127" s="18" t="s">
        <v>24</v>
      </c>
      <c r="C127" s="18" t="s">
        <v>22</v>
      </c>
      <c r="D127" s="8">
        <v>0</v>
      </c>
      <c r="E127" s="8">
        <v>0</v>
      </c>
      <c r="F127" s="8">
        <v>0</v>
      </c>
      <c r="G127" s="8">
        <v>0</v>
      </c>
      <c r="H127" s="8">
        <v>0</v>
      </c>
      <c r="I127" s="8">
        <v>0</v>
      </c>
      <c r="J127" s="8">
        <v>0</v>
      </c>
      <c r="K127" s="8">
        <v>0</v>
      </c>
      <c r="L127" s="8">
        <v>0</v>
      </c>
      <c r="M127" s="8">
        <v>0</v>
      </c>
      <c r="N127" s="8">
        <v>0</v>
      </c>
    </row>
    <row r="128" spans="1:14" x14ac:dyDescent="0.2">
      <c r="A128" s="12" t="s">
        <v>183</v>
      </c>
      <c r="B128" s="18" t="s">
        <v>24</v>
      </c>
      <c r="C128" s="18" t="s">
        <v>22</v>
      </c>
      <c r="D128" s="8">
        <v>1</v>
      </c>
      <c r="E128" s="8">
        <v>0</v>
      </c>
      <c r="F128" s="8">
        <v>0</v>
      </c>
      <c r="G128" s="8">
        <v>0</v>
      </c>
      <c r="H128" s="8">
        <v>0</v>
      </c>
      <c r="I128" s="8">
        <v>0</v>
      </c>
      <c r="J128" s="8">
        <v>0</v>
      </c>
      <c r="K128" s="8">
        <v>0</v>
      </c>
      <c r="L128" s="8">
        <v>0</v>
      </c>
      <c r="M128" s="8">
        <v>1</v>
      </c>
      <c r="N128" s="8">
        <v>1</v>
      </c>
    </row>
    <row r="129" spans="1:14" x14ac:dyDescent="0.2">
      <c r="A129" s="12" t="s">
        <v>184</v>
      </c>
      <c r="B129" s="18" t="s">
        <v>24</v>
      </c>
      <c r="C129" s="18" t="s">
        <v>22</v>
      </c>
      <c r="D129" s="8">
        <v>0</v>
      </c>
      <c r="E129" s="8">
        <v>0</v>
      </c>
      <c r="F129" s="8">
        <v>0</v>
      </c>
      <c r="G129" s="8">
        <v>0</v>
      </c>
      <c r="H129" s="8">
        <v>0</v>
      </c>
      <c r="I129" s="8">
        <v>0</v>
      </c>
      <c r="J129" s="8">
        <v>0</v>
      </c>
      <c r="K129" s="8">
        <v>0</v>
      </c>
      <c r="L129" s="8">
        <v>0</v>
      </c>
      <c r="M129" s="8">
        <v>0</v>
      </c>
      <c r="N129" s="8">
        <v>0</v>
      </c>
    </row>
    <row r="130" spans="1:14" x14ac:dyDescent="0.2">
      <c r="A130" s="12" t="s">
        <v>185</v>
      </c>
      <c r="B130" s="18" t="s">
        <v>24</v>
      </c>
      <c r="C130" s="18" t="s">
        <v>22</v>
      </c>
      <c r="D130" s="8">
        <v>1</v>
      </c>
      <c r="E130" s="8">
        <v>0</v>
      </c>
      <c r="F130" s="8">
        <v>0</v>
      </c>
      <c r="G130" s="8">
        <v>0</v>
      </c>
      <c r="H130" s="8">
        <v>0</v>
      </c>
      <c r="I130" s="8">
        <v>0</v>
      </c>
      <c r="J130" s="8">
        <v>0</v>
      </c>
      <c r="K130" s="8">
        <v>0</v>
      </c>
      <c r="L130" s="8">
        <v>0</v>
      </c>
      <c r="M130" s="8">
        <v>1</v>
      </c>
      <c r="N130" s="8">
        <v>1</v>
      </c>
    </row>
    <row r="131" spans="1:14" x14ac:dyDescent="0.2">
      <c r="A131" s="12" t="s">
        <v>186</v>
      </c>
      <c r="B131" s="18" t="s">
        <v>24</v>
      </c>
      <c r="C131" s="18" t="s">
        <v>22</v>
      </c>
      <c r="D131" s="8">
        <v>3</v>
      </c>
      <c r="E131" s="8">
        <v>2</v>
      </c>
      <c r="F131" s="8">
        <v>0</v>
      </c>
      <c r="G131" s="8">
        <v>0</v>
      </c>
      <c r="H131" s="8">
        <v>0</v>
      </c>
      <c r="I131" s="8">
        <v>0</v>
      </c>
      <c r="J131" s="8">
        <v>0</v>
      </c>
      <c r="K131" s="8">
        <v>0</v>
      </c>
      <c r="L131" s="8">
        <v>0</v>
      </c>
      <c r="M131" s="8">
        <v>1</v>
      </c>
      <c r="N131" s="8">
        <v>1</v>
      </c>
    </row>
    <row r="132" spans="1:14" x14ac:dyDescent="0.2">
      <c r="A132" s="12" t="s">
        <v>187</v>
      </c>
      <c r="B132" s="18" t="s">
        <v>24</v>
      </c>
      <c r="C132" s="18" t="s">
        <v>22</v>
      </c>
      <c r="D132" s="8">
        <v>1</v>
      </c>
      <c r="E132" s="8">
        <v>0</v>
      </c>
      <c r="F132" s="8">
        <v>0</v>
      </c>
      <c r="G132" s="8">
        <v>0</v>
      </c>
      <c r="H132" s="8">
        <v>0</v>
      </c>
      <c r="I132" s="8">
        <v>0</v>
      </c>
      <c r="J132" s="8">
        <v>0</v>
      </c>
      <c r="K132" s="8">
        <v>0</v>
      </c>
      <c r="L132" s="8">
        <v>0</v>
      </c>
      <c r="M132" s="8">
        <v>1</v>
      </c>
      <c r="N132" s="8">
        <v>1</v>
      </c>
    </row>
    <row r="133" spans="1:14" x14ac:dyDescent="0.2">
      <c r="A133" s="12" t="s">
        <v>188</v>
      </c>
      <c r="B133" s="18" t="s">
        <v>24</v>
      </c>
      <c r="C133" s="18" t="s">
        <v>22</v>
      </c>
      <c r="D133" s="8">
        <v>1</v>
      </c>
      <c r="E133" s="8">
        <v>0</v>
      </c>
      <c r="F133" s="8">
        <v>0</v>
      </c>
      <c r="G133" s="8">
        <v>0</v>
      </c>
      <c r="H133" s="8">
        <v>0</v>
      </c>
      <c r="I133" s="8">
        <v>0</v>
      </c>
      <c r="J133" s="8">
        <v>0</v>
      </c>
      <c r="K133" s="8">
        <v>0</v>
      </c>
      <c r="L133" s="8">
        <v>0</v>
      </c>
      <c r="M133" s="8">
        <v>1</v>
      </c>
      <c r="N133" s="8">
        <v>1</v>
      </c>
    </row>
    <row r="134" spans="1:14" x14ac:dyDescent="0.2">
      <c r="A134" s="12" t="s">
        <v>189</v>
      </c>
      <c r="B134" s="18" t="s">
        <v>21</v>
      </c>
      <c r="C134" s="18" t="s">
        <v>464</v>
      </c>
      <c r="D134" s="8">
        <v>0</v>
      </c>
      <c r="E134" s="8">
        <v>0</v>
      </c>
      <c r="F134" s="8">
        <v>0</v>
      </c>
      <c r="G134" s="8">
        <v>0</v>
      </c>
      <c r="H134" s="8">
        <v>0</v>
      </c>
      <c r="I134" s="8">
        <v>0</v>
      </c>
      <c r="J134" s="8">
        <v>0</v>
      </c>
      <c r="K134" s="8">
        <v>0</v>
      </c>
      <c r="L134" s="8">
        <v>0</v>
      </c>
      <c r="M134" s="8">
        <v>0</v>
      </c>
      <c r="N134" s="8">
        <v>0</v>
      </c>
    </row>
    <row r="135" spans="1:14" x14ac:dyDescent="0.2">
      <c r="A135" s="12" t="s">
        <v>190</v>
      </c>
      <c r="B135" s="18" t="s">
        <v>44</v>
      </c>
      <c r="C135" s="18" t="s">
        <v>33</v>
      </c>
      <c r="D135" s="8">
        <v>1</v>
      </c>
      <c r="E135" s="8">
        <v>0</v>
      </c>
      <c r="F135" s="8">
        <v>0</v>
      </c>
      <c r="G135" s="8">
        <v>1</v>
      </c>
      <c r="H135" s="8">
        <v>0</v>
      </c>
      <c r="I135" s="8">
        <v>0</v>
      </c>
      <c r="J135" s="8">
        <v>0</v>
      </c>
      <c r="K135" s="8">
        <v>0</v>
      </c>
      <c r="L135" s="8">
        <v>0</v>
      </c>
      <c r="M135" s="8">
        <v>0</v>
      </c>
      <c r="N135" s="8">
        <v>1</v>
      </c>
    </row>
    <row r="136" spans="1:14" x14ac:dyDescent="0.2">
      <c r="A136" s="12" t="s">
        <v>191</v>
      </c>
      <c r="B136" s="18" t="s">
        <v>30</v>
      </c>
      <c r="C136" s="18" t="s">
        <v>29</v>
      </c>
      <c r="D136" s="8">
        <v>0</v>
      </c>
      <c r="E136" s="8">
        <v>0</v>
      </c>
      <c r="F136" s="8">
        <v>0</v>
      </c>
      <c r="G136" s="8">
        <v>0</v>
      </c>
      <c r="H136" s="8">
        <v>0</v>
      </c>
      <c r="I136" s="8">
        <v>0</v>
      </c>
      <c r="J136" s="8">
        <v>0</v>
      </c>
      <c r="K136" s="8">
        <v>0</v>
      </c>
      <c r="L136" s="8">
        <v>0</v>
      </c>
      <c r="M136" s="8">
        <v>0</v>
      </c>
      <c r="N136" s="8">
        <v>0</v>
      </c>
    </row>
    <row r="137" spans="1:14" x14ac:dyDescent="0.2">
      <c r="A137" s="12" t="s">
        <v>192</v>
      </c>
      <c r="B137" s="18" t="s">
        <v>42</v>
      </c>
      <c r="C137" s="18" t="s">
        <v>33</v>
      </c>
      <c r="D137" s="8">
        <v>0</v>
      </c>
      <c r="E137" s="8">
        <v>0</v>
      </c>
      <c r="F137" s="8">
        <v>0</v>
      </c>
      <c r="G137" s="8">
        <v>0</v>
      </c>
      <c r="H137" s="8">
        <v>0</v>
      </c>
      <c r="I137" s="8">
        <v>0</v>
      </c>
      <c r="J137" s="8">
        <v>0</v>
      </c>
      <c r="K137" s="8">
        <v>0</v>
      </c>
      <c r="L137" s="8">
        <v>0</v>
      </c>
      <c r="M137" s="8">
        <v>0</v>
      </c>
      <c r="N137" s="8">
        <v>0</v>
      </c>
    </row>
    <row r="138" spans="1:14" x14ac:dyDescent="0.2">
      <c r="A138" s="12" t="s">
        <v>193</v>
      </c>
      <c r="B138" s="18" t="s">
        <v>28</v>
      </c>
      <c r="C138" s="18" t="s">
        <v>25</v>
      </c>
      <c r="D138" s="8">
        <v>0</v>
      </c>
      <c r="E138" s="8">
        <v>0</v>
      </c>
      <c r="F138" s="8">
        <v>0</v>
      </c>
      <c r="G138" s="8">
        <v>0</v>
      </c>
      <c r="H138" s="8">
        <v>0</v>
      </c>
      <c r="I138" s="8">
        <v>0</v>
      </c>
      <c r="J138" s="8">
        <v>0</v>
      </c>
      <c r="K138" s="8">
        <v>0</v>
      </c>
      <c r="L138" s="8">
        <v>0</v>
      </c>
      <c r="M138" s="8">
        <v>0</v>
      </c>
      <c r="N138" s="8">
        <v>0</v>
      </c>
    </row>
    <row r="139" spans="1:14" x14ac:dyDescent="0.2">
      <c r="A139" s="12" t="s">
        <v>194</v>
      </c>
      <c r="B139" s="18" t="s">
        <v>46</v>
      </c>
      <c r="C139" s="18" t="s">
        <v>33</v>
      </c>
      <c r="D139" s="8">
        <v>2</v>
      </c>
      <c r="E139" s="8">
        <v>0</v>
      </c>
      <c r="F139" s="8">
        <v>0</v>
      </c>
      <c r="G139" s="8">
        <v>1</v>
      </c>
      <c r="H139" s="8">
        <v>0</v>
      </c>
      <c r="I139" s="8">
        <v>0</v>
      </c>
      <c r="J139" s="8">
        <v>0</v>
      </c>
      <c r="K139" s="8">
        <v>0</v>
      </c>
      <c r="L139" s="8">
        <v>0</v>
      </c>
      <c r="M139" s="8">
        <v>1</v>
      </c>
      <c r="N139" s="8">
        <v>1</v>
      </c>
    </row>
    <row r="140" spans="1:14" x14ac:dyDescent="0.2">
      <c r="A140" s="12" t="s">
        <v>195</v>
      </c>
      <c r="B140" s="18" t="s">
        <v>31</v>
      </c>
      <c r="C140" s="18" t="s">
        <v>29</v>
      </c>
      <c r="D140" s="8">
        <v>0</v>
      </c>
      <c r="E140" s="8">
        <v>0</v>
      </c>
      <c r="F140" s="8">
        <v>0</v>
      </c>
      <c r="G140" s="8">
        <v>0</v>
      </c>
      <c r="H140" s="8">
        <v>0</v>
      </c>
      <c r="I140" s="8">
        <v>0</v>
      </c>
      <c r="J140" s="8">
        <v>0</v>
      </c>
      <c r="K140" s="8">
        <v>0</v>
      </c>
      <c r="L140" s="8">
        <v>0</v>
      </c>
      <c r="M140" s="8">
        <v>0</v>
      </c>
      <c r="N140" s="8">
        <v>0</v>
      </c>
    </row>
    <row r="141" spans="1:14" x14ac:dyDescent="0.2">
      <c r="A141" s="12" t="s">
        <v>196</v>
      </c>
      <c r="B141" s="18" t="s">
        <v>16</v>
      </c>
      <c r="C141" s="18" t="s">
        <v>15</v>
      </c>
      <c r="D141" s="8">
        <v>6</v>
      </c>
      <c r="E141" s="8">
        <v>3</v>
      </c>
      <c r="F141" s="8">
        <v>0</v>
      </c>
      <c r="G141" s="8">
        <v>3</v>
      </c>
      <c r="H141" s="8">
        <v>0</v>
      </c>
      <c r="I141" s="8">
        <v>0</v>
      </c>
      <c r="J141" s="8">
        <v>0</v>
      </c>
      <c r="K141" s="8">
        <v>0</v>
      </c>
      <c r="L141" s="8">
        <v>0</v>
      </c>
      <c r="M141" s="8">
        <v>0</v>
      </c>
      <c r="N141" s="8">
        <v>1</v>
      </c>
    </row>
    <row r="142" spans="1:14" x14ac:dyDescent="0.2">
      <c r="A142" s="12" t="s">
        <v>197</v>
      </c>
      <c r="B142" s="18" t="s">
        <v>463</v>
      </c>
      <c r="C142" s="18" t="s">
        <v>33</v>
      </c>
      <c r="D142" s="8">
        <v>0</v>
      </c>
      <c r="E142" s="8">
        <v>0</v>
      </c>
      <c r="F142" s="8">
        <v>0</v>
      </c>
      <c r="G142" s="8">
        <v>0</v>
      </c>
      <c r="H142" s="8">
        <v>0</v>
      </c>
      <c r="I142" s="8">
        <v>0</v>
      </c>
      <c r="J142" s="8">
        <v>0</v>
      </c>
      <c r="K142" s="8">
        <v>0</v>
      </c>
      <c r="L142" s="8">
        <v>0</v>
      </c>
      <c r="M142" s="8">
        <v>0</v>
      </c>
      <c r="N142" s="8">
        <v>0</v>
      </c>
    </row>
    <row r="143" spans="1:14" x14ac:dyDescent="0.2">
      <c r="A143" s="12" t="s">
        <v>198</v>
      </c>
      <c r="B143" s="18" t="s">
        <v>24</v>
      </c>
      <c r="C143" s="18" t="s">
        <v>22</v>
      </c>
      <c r="D143" s="8">
        <v>1</v>
      </c>
      <c r="E143" s="8">
        <v>0</v>
      </c>
      <c r="F143" s="8">
        <v>0</v>
      </c>
      <c r="G143" s="8">
        <v>1</v>
      </c>
      <c r="H143" s="8">
        <v>0</v>
      </c>
      <c r="I143" s="8">
        <v>0</v>
      </c>
      <c r="J143" s="8">
        <v>0</v>
      </c>
      <c r="K143" s="8">
        <v>0</v>
      </c>
      <c r="L143" s="8">
        <v>0</v>
      </c>
      <c r="M143" s="8">
        <v>0</v>
      </c>
      <c r="N143" s="8">
        <v>1</v>
      </c>
    </row>
    <row r="144" spans="1:14" x14ac:dyDescent="0.2">
      <c r="A144" s="12" t="s">
        <v>199</v>
      </c>
      <c r="B144" s="18" t="s">
        <v>27</v>
      </c>
      <c r="C144" s="18" t="s">
        <v>25</v>
      </c>
      <c r="D144" s="8">
        <v>0</v>
      </c>
      <c r="E144" s="8">
        <v>0</v>
      </c>
      <c r="F144" s="8">
        <v>0</v>
      </c>
      <c r="G144" s="8">
        <v>0</v>
      </c>
      <c r="H144" s="8">
        <v>0</v>
      </c>
      <c r="I144" s="8">
        <v>0</v>
      </c>
      <c r="J144" s="8">
        <v>0</v>
      </c>
      <c r="K144" s="8">
        <v>0</v>
      </c>
      <c r="L144" s="8">
        <v>0</v>
      </c>
      <c r="M144" s="8">
        <v>0</v>
      </c>
      <c r="N144" s="8">
        <v>0</v>
      </c>
    </row>
    <row r="145" spans="1:14" x14ac:dyDescent="0.2">
      <c r="A145" s="12" t="s">
        <v>200</v>
      </c>
      <c r="B145" s="18" t="s">
        <v>42</v>
      </c>
      <c r="C145" s="18" t="s">
        <v>33</v>
      </c>
      <c r="D145" s="8">
        <v>0</v>
      </c>
      <c r="E145" s="8">
        <v>0</v>
      </c>
      <c r="F145" s="8">
        <v>0</v>
      </c>
      <c r="G145" s="8">
        <v>0</v>
      </c>
      <c r="H145" s="8">
        <v>0</v>
      </c>
      <c r="I145" s="8">
        <v>0</v>
      </c>
      <c r="J145" s="8">
        <v>0</v>
      </c>
      <c r="K145" s="8">
        <v>0</v>
      </c>
      <c r="L145" s="8">
        <v>0</v>
      </c>
      <c r="M145" s="8">
        <v>0</v>
      </c>
      <c r="N145" s="8">
        <v>0</v>
      </c>
    </row>
    <row r="146" spans="1:14" x14ac:dyDescent="0.2">
      <c r="A146" s="12" t="s">
        <v>201</v>
      </c>
      <c r="B146" s="18" t="s">
        <v>27</v>
      </c>
      <c r="C146" s="18" t="s">
        <v>25</v>
      </c>
      <c r="D146" s="8">
        <v>0</v>
      </c>
      <c r="E146" s="8">
        <v>0</v>
      </c>
      <c r="F146" s="8">
        <v>0</v>
      </c>
      <c r="G146" s="8">
        <v>0</v>
      </c>
      <c r="H146" s="8">
        <v>0</v>
      </c>
      <c r="I146" s="8">
        <v>0</v>
      </c>
      <c r="J146" s="8">
        <v>0</v>
      </c>
      <c r="K146" s="8">
        <v>0</v>
      </c>
      <c r="L146" s="8">
        <v>0</v>
      </c>
      <c r="M146" s="8">
        <v>0</v>
      </c>
      <c r="N146" s="8">
        <v>0</v>
      </c>
    </row>
    <row r="147" spans="1:14" x14ac:dyDescent="0.2">
      <c r="A147" s="12" t="s">
        <v>202</v>
      </c>
      <c r="B147" s="18" t="s">
        <v>11</v>
      </c>
      <c r="C147" s="18" t="s">
        <v>10</v>
      </c>
      <c r="D147" s="8">
        <v>0</v>
      </c>
      <c r="E147" s="8">
        <v>0</v>
      </c>
      <c r="F147" s="8">
        <v>0</v>
      </c>
      <c r="G147" s="8">
        <v>0</v>
      </c>
      <c r="H147" s="8">
        <v>0</v>
      </c>
      <c r="I147" s="8">
        <v>0</v>
      </c>
      <c r="J147" s="8">
        <v>0</v>
      </c>
      <c r="K147" s="8">
        <v>0</v>
      </c>
      <c r="L147" s="8">
        <v>0</v>
      </c>
      <c r="M147" s="8">
        <v>0</v>
      </c>
      <c r="N147" s="8">
        <v>0</v>
      </c>
    </row>
    <row r="148" spans="1:14" x14ac:dyDescent="0.2">
      <c r="A148" s="12" t="s">
        <v>203</v>
      </c>
      <c r="B148" s="18" t="s">
        <v>19</v>
      </c>
      <c r="C148" s="18" t="s">
        <v>15</v>
      </c>
      <c r="D148" s="8">
        <v>0</v>
      </c>
      <c r="E148" s="8">
        <v>0</v>
      </c>
      <c r="F148" s="8">
        <v>0</v>
      </c>
      <c r="G148" s="8">
        <v>0</v>
      </c>
      <c r="H148" s="8">
        <v>0</v>
      </c>
      <c r="I148" s="8">
        <v>0</v>
      </c>
      <c r="J148" s="8">
        <v>0</v>
      </c>
      <c r="K148" s="8">
        <v>0</v>
      </c>
      <c r="L148" s="8">
        <v>0</v>
      </c>
      <c r="M148" s="8">
        <v>0</v>
      </c>
      <c r="N148" s="8">
        <v>0</v>
      </c>
    </row>
    <row r="150" spans="1:14" x14ac:dyDescent="0.2">
      <c r="D150" s="17">
        <f t="shared" ref="D150:M150" si="0">SUM(D2:D148)</f>
        <v>158</v>
      </c>
      <c r="E150" s="17">
        <f t="shared" si="0"/>
        <v>55</v>
      </c>
      <c r="F150" s="17">
        <f t="shared" si="0"/>
        <v>8</v>
      </c>
      <c r="G150" s="17">
        <f t="shared" si="0"/>
        <v>33</v>
      </c>
      <c r="H150" s="17">
        <f t="shared" si="0"/>
        <v>1</v>
      </c>
      <c r="I150" s="17">
        <f t="shared" si="0"/>
        <v>8</v>
      </c>
      <c r="J150" s="17">
        <f t="shared" si="0"/>
        <v>15</v>
      </c>
      <c r="K150" s="17">
        <f t="shared" si="0"/>
        <v>11</v>
      </c>
      <c r="L150" s="17">
        <f t="shared" si="0"/>
        <v>2</v>
      </c>
      <c r="M150" s="17">
        <f t="shared" si="0"/>
        <v>25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3016CE7-86BE-5D40-8BA4-E14E2D6D7BF5}">
  <dimension ref="A1:Z40"/>
  <sheetViews>
    <sheetView showGridLines="0" tabSelected="1" workbookViewId="0">
      <selection activeCell="R1" sqref="R1:Z1"/>
    </sheetView>
  </sheetViews>
  <sheetFormatPr baseColWidth="10" defaultRowHeight="15" x14ac:dyDescent="0.2"/>
  <cols>
    <col min="1" max="1" width="18.33203125" style="24" customWidth="1"/>
    <col min="2" max="2" width="21.6640625" style="24" customWidth="1"/>
    <col min="3" max="3" width="8.33203125" style="24" customWidth="1"/>
    <col min="4" max="4" width="1.6640625" style="24" customWidth="1"/>
    <col min="5" max="9" width="10.33203125" style="24" customWidth="1"/>
    <col min="10" max="10" width="1.6640625" style="24" customWidth="1"/>
    <col min="11" max="16" width="10.33203125" style="24" customWidth="1"/>
    <col min="17" max="17" width="1.6640625" style="24" customWidth="1"/>
    <col min="18" max="26" width="10.33203125" style="24" customWidth="1"/>
    <col min="27" max="16384" width="10.83203125" style="24"/>
  </cols>
  <sheetData>
    <row r="1" spans="1:26" ht="16" customHeight="1" x14ac:dyDescent="0.2">
      <c r="A1" s="48" t="s">
        <v>0</v>
      </c>
      <c r="B1" s="48" t="s">
        <v>1</v>
      </c>
      <c r="C1" s="50" t="s">
        <v>479</v>
      </c>
      <c r="E1" s="48" t="s">
        <v>478</v>
      </c>
      <c r="F1" s="48"/>
      <c r="G1" s="48"/>
      <c r="H1" s="48"/>
      <c r="I1" s="48"/>
      <c r="K1" s="48" t="s">
        <v>481</v>
      </c>
      <c r="L1" s="48"/>
      <c r="M1" s="48"/>
      <c r="N1" s="48"/>
      <c r="O1" s="48"/>
      <c r="P1" s="48"/>
      <c r="R1" s="47" t="s">
        <v>482</v>
      </c>
      <c r="S1" s="47"/>
      <c r="T1" s="47"/>
      <c r="U1" s="47"/>
      <c r="V1" s="47"/>
      <c r="W1" s="47"/>
      <c r="X1" s="47"/>
      <c r="Y1" s="47"/>
      <c r="Z1" s="47"/>
    </row>
    <row r="2" spans="1:26" ht="26" customHeight="1" x14ac:dyDescent="0.2">
      <c r="A2" s="48"/>
      <c r="B2" s="48"/>
      <c r="C2" s="50"/>
      <c r="D2" s="23"/>
      <c r="E2" s="49"/>
      <c r="F2" s="49"/>
      <c r="G2" s="49"/>
      <c r="H2" s="49"/>
      <c r="I2" s="49"/>
      <c r="J2" s="23"/>
      <c r="K2" s="49"/>
      <c r="L2" s="49"/>
      <c r="M2" s="49"/>
      <c r="N2" s="49"/>
      <c r="O2" s="49"/>
      <c r="P2" s="49"/>
      <c r="Q2" s="23"/>
      <c r="R2" s="62" t="s">
        <v>465</v>
      </c>
      <c r="S2" s="62"/>
      <c r="T2" s="62" t="s">
        <v>467</v>
      </c>
      <c r="U2" s="62"/>
      <c r="V2" s="95" t="s">
        <v>484</v>
      </c>
      <c r="W2" s="62" t="s">
        <v>485</v>
      </c>
      <c r="X2" s="62"/>
      <c r="Y2" s="62" t="s">
        <v>469</v>
      </c>
      <c r="Z2" s="62"/>
    </row>
    <row r="3" spans="1:26" ht="18" customHeight="1" x14ac:dyDescent="0.2">
      <c r="A3" s="48"/>
      <c r="B3" s="48"/>
      <c r="C3" s="50"/>
      <c r="D3" s="23"/>
      <c r="E3" s="63" t="s">
        <v>475</v>
      </c>
      <c r="F3" s="64"/>
      <c r="G3" s="66" t="s">
        <v>476</v>
      </c>
      <c r="H3" s="66" t="s">
        <v>477</v>
      </c>
      <c r="I3" s="54" t="s">
        <v>480</v>
      </c>
      <c r="J3" s="23"/>
      <c r="K3" s="63" t="s">
        <v>475</v>
      </c>
      <c r="L3" s="65"/>
      <c r="M3" s="65"/>
      <c r="N3" s="64"/>
      <c r="O3" s="68" t="s">
        <v>476</v>
      </c>
      <c r="P3" s="68" t="s">
        <v>477</v>
      </c>
      <c r="Q3" s="23"/>
      <c r="R3" s="56" t="s">
        <v>213</v>
      </c>
      <c r="S3" s="58" t="s">
        <v>215</v>
      </c>
      <c r="T3" s="56" t="s">
        <v>208</v>
      </c>
      <c r="U3" s="92" t="s">
        <v>210</v>
      </c>
      <c r="V3" s="54" t="s">
        <v>483</v>
      </c>
      <c r="W3" s="60" t="s">
        <v>214</v>
      </c>
      <c r="X3" s="52" t="s">
        <v>212</v>
      </c>
      <c r="Y3" s="92" t="s">
        <v>57</v>
      </c>
      <c r="Z3" s="58" t="s">
        <v>211</v>
      </c>
    </row>
    <row r="4" spans="1:26" ht="18" customHeight="1" x14ac:dyDescent="0.2">
      <c r="A4" s="49"/>
      <c r="B4" s="49"/>
      <c r="C4" s="51"/>
      <c r="D4" s="23"/>
      <c r="E4" s="30" t="s">
        <v>2</v>
      </c>
      <c r="F4" s="31" t="s">
        <v>3</v>
      </c>
      <c r="G4" s="67"/>
      <c r="H4" s="67"/>
      <c r="I4" s="55"/>
      <c r="J4" s="23"/>
      <c r="K4" s="25" t="s">
        <v>6</v>
      </c>
      <c r="L4" s="27" t="s">
        <v>7</v>
      </c>
      <c r="M4" s="27" t="s">
        <v>4</v>
      </c>
      <c r="N4" s="26" t="s">
        <v>5</v>
      </c>
      <c r="O4" s="69"/>
      <c r="P4" s="69"/>
      <c r="Q4" s="23"/>
      <c r="R4" s="57"/>
      <c r="S4" s="59"/>
      <c r="T4" s="57"/>
      <c r="U4" s="93"/>
      <c r="V4" s="55"/>
      <c r="W4" s="61"/>
      <c r="X4" s="53"/>
      <c r="Y4" s="93"/>
      <c r="Z4" s="59"/>
    </row>
    <row r="5" spans="1:26" ht="17" customHeight="1" x14ac:dyDescent="0.2">
      <c r="A5" s="33" t="s">
        <v>10</v>
      </c>
      <c r="B5" s="33" t="s">
        <v>11</v>
      </c>
      <c r="C5" s="33">
        <v>1</v>
      </c>
      <c r="D5" s="33"/>
      <c r="E5" s="28">
        <v>0</v>
      </c>
      <c r="F5" s="29">
        <v>0</v>
      </c>
      <c r="G5" s="34">
        <v>0</v>
      </c>
      <c r="H5" s="34">
        <v>0</v>
      </c>
      <c r="I5" s="37">
        <v>0</v>
      </c>
      <c r="J5" s="33"/>
      <c r="K5" s="34">
        <v>0</v>
      </c>
      <c r="L5" s="33">
        <v>0</v>
      </c>
      <c r="M5" s="33">
        <v>0</v>
      </c>
      <c r="N5" s="29">
        <v>0</v>
      </c>
      <c r="O5" s="35">
        <v>0</v>
      </c>
      <c r="P5" s="35">
        <v>0</v>
      </c>
      <c r="Q5" s="33"/>
      <c r="R5" s="40">
        <v>0</v>
      </c>
      <c r="S5" s="41">
        <v>0</v>
      </c>
      <c r="T5" s="40">
        <v>0</v>
      </c>
      <c r="U5" s="36">
        <v>0</v>
      </c>
      <c r="V5" s="38">
        <v>0</v>
      </c>
      <c r="W5" s="40">
        <v>0</v>
      </c>
      <c r="X5" s="41">
        <v>0</v>
      </c>
      <c r="Y5" s="94">
        <v>0</v>
      </c>
      <c r="Z5" s="41">
        <v>0</v>
      </c>
    </row>
    <row r="6" spans="1:26" ht="17" customHeight="1" x14ac:dyDescent="0.2">
      <c r="A6" s="33" t="s">
        <v>10</v>
      </c>
      <c r="B6" s="33" t="s">
        <v>12</v>
      </c>
      <c r="C6" s="33">
        <v>1</v>
      </c>
      <c r="D6" s="33"/>
      <c r="E6" s="34">
        <v>0</v>
      </c>
      <c r="F6" s="35">
        <v>0</v>
      </c>
      <c r="G6" s="34">
        <v>1</v>
      </c>
      <c r="H6" s="34">
        <v>0</v>
      </c>
      <c r="I6" s="38">
        <v>1</v>
      </c>
      <c r="J6" s="33"/>
      <c r="K6" s="34">
        <v>0</v>
      </c>
      <c r="L6" s="33">
        <v>0</v>
      </c>
      <c r="M6" s="33">
        <v>0</v>
      </c>
      <c r="N6" s="35">
        <v>0</v>
      </c>
      <c r="O6" s="35">
        <v>1</v>
      </c>
      <c r="P6" s="35">
        <v>0</v>
      </c>
      <c r="Q6" s="33"/>
      <c r="R6" s="40">
        <v>0</v>
      </c>
      <c r="S6" s="41">
        <v>0</v>
      </c>
      <c r="T6" s="40">
        <v>0</v>
      </c>
      <c r="U6" s="36">
        <v>3</v>
      </c>
      <c r="V6" s="38">
        <v>0</v>
      </c>
      <c r="W6" s="40">
        <v>0</v>
      </c>
      <c r="X6" s="41">
        <v>0</v>
      </c>
      <c r="Y6" s="94">
        <v>0</v>
      </c>
      <c r="Z6" s="41">
        <v>0</v>
      </c>
    </row>
    <row r="7" spans="1:26" ht="17" customHeight="1" x14ac:dyDescent="0.2">
      <c r="A7" s="33" t="s">
        <v>10</v>
      </c>
      <c r="B7" s="33" t="s">
        <v>13</v>
      </c>
      <c r="C7" s="33">
        <v>4</v>
      </c>
      <c r="D7" s="33"/>
      <c r="E7" s="34">
        <v>1</v>
      </c>
      <c r="F7" s="35">
        <v>1</v>
      </c>
      <c r="G7" s="34">
        <v>0</v>
      </c>
      <c r="H7" s="34">
        <v>0</v>
      </c>
      <c r="I7" s="38">
        <v>0</v>
      </c>
      <c r="J7" s="33"/>
      <c r="K7" s="34">
        <v>3</v>
      </c>
      <c r="L7" s="33">
        <v>0</v>
      </c>
      <c r="M7" s="33">
        <v>0</v>
      </c>
      <c r="N7" s="35">
        <v>1</v>
      </c>
      <c r="O7" s="35">
        <v>0</v>
      </c>
      <c r="P7" s="35">
        <v>0</v>
      </c>
      <c r="Q7" s="33"/>
      <c r="R7" s="40">
        <v>0</v>
      </c>
      <c r="S7" s="41">
        <v>0</v>
      </c>
      <c r="T7" s="40">
        <v>0</v>
      </c>
      <c r="U7" s="36">
        <v>0</v>
      </c>
      <c r="V7" s="38">
        <v>0</v>
      </c>
      <c r="W7" s="40">
        <v>0</v>
      </c>
      <c r="X7" s="41">
        <v>0</v>
      </c>
      <c r="Y7" s="94">
        <v>0</v>
      </c>
      <c r="Z7" s="41">
        <v>0</v>
      </c>
    </row>
    <row r="8" spans="1:26" ht="16" customHeight="1" x14ac:dyDescent="0.2">
      <c r="A8" s="33" t="s">
        <v>10</v>
      </c>
      <c r="B8" s="33" t="s">
        <v>14</v>
      </c>
      <c r="C8" s="33">
        <v>5</v>
      </c>
      <c r="D8" s="33"/>
      <c r="E8" s="34">
        <v>0</v>
      </c>
      <c r="F8" s="35">
        <v>2</v>
      </c>
      <c r="G8" s="34">
        <v>0</v>
      </c>
      <c r="H8" s="34">
        <v>0</v>
      </c>
      <c r="I8" s="38">
        <v>4</v>
      </c>
      <c r="J8" s="33"/>
      <c r="K8" s="34">
        <v>0</v>
      </c>
      <c r="L8" s="33">
        <v>0</v>
      </c>
      <c r="M8" s="33">
        <v>2</v>
      </c>
      <c r="N8" s="35">
        <v>3</v>
      </c>
      <c r="O8" s="35">
        <v>0</v>
      </c>
      <c r="P8" s="35">
        <v>0</v>
      </c>
      <c r="Q8" s="33"/>
      <c r="R8" s="40">
        <v>15</v>
      </c>
      <c r="S8" s="41">
        <v>0</v>
      </c>
      <c r="T8" s="40">
        <v>0</v>
      </c>
      <c r="U8" s="36">
        <v>2</v>
      </c>
      <c r="V8" s="38">
        <v>0</v>
      </c>
      <c r="W8" s="40">
        <v>0</v>
      </c>
      <c r="X8" s="41">
        <v>0</v>
      </c>
      <c r="Y8" s="94">
        <v>0</v>
      </c>
      <c r="Z8" s="41">
        <v>0</v>
      </c>
    </row>
    <row r="9" spans="1:26" ht="17" customHeight="1" x14ac:dyDescent="0.2">
      <c r="A9" s="33" t="s">
        <v>15</v>
      </c>
      <c r="B9" s="33" t="s">
        <v>16</v>
      </c>
      <c r="C9" s="33">
        <v>2</v>
      </c>
      <c r="D9" s="33"/>
      <c r="E9" s="34">
        <v>0</v>
      </c>
      <c r="F9" s="35">
        <v>2</v>
      </c>
      <c r="G9" s="34">
        <v>0</v>
      </c>
      <c r="H9" s="34">
        <v>0</v>
      </c>
      <c r="I9" s="38">
        <v>1</v>
      </c>
      <c r="J9" s="33"/>
      <c r="K9" s="34">
        <v>0</v>
      </c>
      <c r="L9" s="33">
        <v>16</v>
      </c>
      <c r="M9" s="33">
        <v>0</v>
      </c>
      <c r="N9" s="35">
        <v>7</v>
      </c>
      <c r="O9" s="35">
        <v>0</v>
      </c>
      <c r="P9" s="35">
        <v>0</v>
      </c>
      <c r="Q9" s="33"/>
      <c r="R9" s="40">
        <v>0</v>
      </c>
      <c r="S9" s="41">
        <v>0</v>
      </c>
      <c r="T9" s="40">
        <v>3</v>
      </c>
      <c r="U9" s="36">
        <v>0</v>
      </c>
      <c r="V9" s="38">
        <v>3</v>
      </c>
      <c r="W9" s="40">
        <v>0</v>
      </c>
      <c r="X9" s="41">
        <v>0</v>
      </c>
      <c r="Y9" s="94">
        <v>0</v>
      </c>
      <c r="Z9" s="41">
        <v>0</v>
      </c>
    </row>
    <row r="10" spans="1:26" ht="17" customHeight="1" x14ac:dyDescent="0.2">
      <c r="A10" s="33" t="s">
        <v>15</v>
      </c>
      <c r="B10" s="33" t="s">
        <v>17</v>
      </c>
      <c r="C10" s="33">
        <v>1</v>
      </c>
      <c r="D10" s="33"/>
      <c r="E10" s="34">
        <v>0</v>
      </c>
      <c r="F10" s="35">
        <v>0</v>
      </c>
      <c r="G10" s="34">
        <v>0</v>
      </c>
      <c r="H10" s="34">
        <v>0</v>
      </c>
      <c r="I10" s="38">
        <v>0</v>
      </c>
      <c r="J10" s="33"/>
      <c r="K10" s="34">
        <v>0</v>
      </c>
      <c r="L10" s="33">
        <v>0</v>
      </c>
      <c r="M10" s="33">
        <v>0</v>
      </c>
      <c r="N10" s="35">
        <v>0</v>
      </c>
      <c r="O10" s="35">
        <v>0</v>
      </c>
      <c r="P10" s="35">
        <v>0</v>
      </c>
      <c r="Q10" s="33"/>
      <c r="R10" s="40">
        <v>0</v>
      </c>
      <c r="S10" s="41">
        <v>0</v>
      </c>
      <c r="T10" s="40">
        <v>0</v>
      </c>
      <c r="U10" s="36">
        <v>0</v>
      </c>
      <c r="V10" s="38">
        <v>0</v>
      </c>
      <c r="W10" s="40">
        <v>0</v>
      </c>
      <c r="X10" s="41">
        <v>0</v>
      </c>
      <c r="Y10" s="94">
        <v>0</v>
      </c>
      <c r="Z10" s="41">
        <v>0</v>
      </c>
    </row>
    <row r="11" spans="1:26" ht="17" customHeight="1" x14ac:dyDescent="0.2">
      <c r="A11" s="33" t="s">
        <v>15</v>
      </c>
      <c r="B11" s="33" t="s">
        <v>18</v>
      </c>
      <c r="C11" s="33">
        <v>11</v>
      </c>
      <c r="D11" s="33"/>
      <c r="E11" s="34">
        <v>1</v>
      </c>
      <c r="F11" s="35">
        <v>9</v>
      </c>
      <c r="G11" s="34">
        <v>1</v>
      </c>
      <c r="H11" s="34">
        <v>2</v>
      </c>
      <c r="I11" s="38">
        <v>6</v>
      </c>
      <c r="J11" s="33"/>
      <c r="K11" s="34">
        <v>3</v>
      </c>
      <c r="L11" s="33">
        <v>54</v>
      </c>
      <c r="M11" s="33">
        <v>2</v>
      </c>
      <c r="N11" s="35">
        <v>34</v>
      </c>
      <c r="O11" s="35">
        <v>2</v>
      </c>
      <c r="P11" s="35">
        <v>2</v>
      </c>
      <c r="Q11" s="33"/>
      <c r="R11" s="40">
        <v>0</v>
      </c>
      <c r="S11" s="41">
        <v>0</v>
      </c>
      <c r="T11" s="40">
        <v>2</v>
      </c>
      <c r="U11" s="36">
        <v>0</v>
      </c>
      <c r="V11" s="38">
        <v>12</v>
      </c>
      <c r="W11" s="40">
        <v>0</v>
      </c>
      <c r="X11" s="41">
        <v>0</v>
      </c>
      <c r="Y11" s="94">
        <v>0</v>
      </c>
      <c r="Z11" s="41">
        <v>0</v>
      </c>
    </row>
    <row r="12" spans="1:26" ht="17" customHeight="1" x14ac:dyDescent="0.2">
      <c r="A12" s="33" t="s">
        <v>15</v>
      </c>
      <c r="B12" s="33" t="s">
        <v>19</v>
      </c>
      <c r="C12" s="33">
        <v>4</v>
      </c>
      <c r="D12" s="33"/>
      <c r="E12" s="34">
        <v>2</v>
      </c>
      <c r="F12" s="35">
        <v>2</v>
      </c>
      <c r="G12" s="34">
        <v>2</v>
      </c>
      <c r="H12" s="34">
        <v>0</v>
      </c>
      <c r="I12" s="38">
        <v>0</v>
      </c>
      <c r="J12" s="33"/>
      <c r="K12" s="34">
        <v>15</v>
      </c>
      <c r="L12" s="33">
        <v>2</v>
      </c>
      <c r="M12" s="33">
        <v>0</v>
      </c>
      <c r="N12" s="35">
        <v>2</v>
      </c>
      <c r="O12" s="35">
        <v>7</v>
      </c>
      <c r="P12" s="35">
        <v>0</v>
      </c>
      <c r="Q12" s="33"/>
      <c r="R12" s="40">
        <v>0</v>
      </c>
      <c r="S12" s="41">
        <v>0</v>
      </c>
      <c r="T12" s="40">
        <v>0</v>
      </c>
      <c r="U12" s="36">
        <v>0</v>
      </c>
      <c r="V12" s="38">
        <v>0</v>
      </c>
      <c r="W12" s="40">
        <v>0</v>
      </c>
      <c r="X12" s="41">
        <v>0</v>
      </c>
      <c r="Y12" s="94">
        <v>0</v>
      </c>
      <c r="Z12" s="41">
        <v>0</v>
      </c>
    </row>
    <row r="13" spans="1:26" ht="17" customHeight="1" x14ac:dyDescent="0.2">
      <c r="A13" s="33" t="s">
        <v>20</v>
      </c>
      <c r="B13" s="33" t="s">
        <v>21</v>
      </c>
      <c r="C13" s="33">
        <v>1</v>
      </c>
      <c r="D13" s="33"/>
      <c r="E13" s="34">
        <v>0</v>
      </c>
      <c r="F13" s="35">
        <v>1</v>
      </c>
      <c r="G13" s="34">
        <v>1</v>
      </c>
      <c r="H13" s="34">
        <v>0</v>
      </c>
      <c r="I13" s="38">
        <v>0</v>
      </c>
      <c r="J13" s="33"/>
      <c r="K13" s="34">
        <v>0</v>
      </c>
      <c r="L13" s="33">
        <v>0</v>
      </c>
      <c r="M13" s="33">
        <v>0</v>
      </c>
      <c r="N13" s="35">
        <v>1</v>
      </c>
      <c r="O13" s="35">
        <v>1</v>
      </c>
      <c r="P13" s="35">
        <v>0</v>
      </c>
      <c r="Q13" s="33"/>
      <c r="R13" s="40">
        <v>0</v>
      </c>
      <c r="S13" s="41">
        <v>0</v>
      </c>
      <c r="T13" s="40">
        <v>0</v>
      </c>
      <c r="U13" s="36">
        <v>0</v>
      </c>
      <c r="V13" s="38">
        <v>0</v>
      </c>
      <c r="W13" s="40">
        <v>0</v>
      </c>
      <c r="X13" s="41">
        <v>0</v>
      </c>
      <c r="Y13" s="94">
        <v>0</v>
      </c>
      <c r="Z13" s="41">
        <v>0</v>
      </c>
    </row>
    <row r="14" spans="1:26" ht="17" customHeight="1" x14ac:dyDescent="0.2">
      <c r="A14" s="33" t="s">
        <v>22</v>
      </c>
      <c r="B14" s="33" t="s">
        <v>23</v>
      </c>
      <c r="C14" s="33">
        <v>2</v>
      </c>
      <c r="D14" s="33"/>
      <c r="E14" s="34">
        <v>2</v>
      </c>
      <c r="F14" s="35">
        <v>0</v>
      </c>
      <c r="G14" s="34">
        <v>2</v>
      </c>
      <c r="H14" s="34">
        <v>0</v>
      </c>
      <c r="I14" s="38">
        <v>0</v>
      </c>
      <c r="J14" s="33"/>
      <c r="K14" s="34">
        <v>39</v>
      </c>
      <c r="L14" s="33">
        <v>4</v>
      </c>
      <c r="M14" s="33">
        <v>2</v>
      </c>
      <c r="N14" s="35">
        <v>3</v>
      </c>
      <c r="O14" s="35">
        <v>4</v>
      </c>
      <c r="P14" s="35">
        <v>0</v>
      </c>
      <c r="Q14" s="33"/>
      <c r="R14" s="40">
        <v>0</v>
      </c>
      <c r="S14" s="41">
        <v>0</v>
      </c>
      <c r="T14" s="40">
        <v>0</v>
      </c>
      <c r="U14" s="36">
        <v>0</v>
      </c>
      <c r="V14" s="38">
        <v>0</v>
      </c>
      <c r="W14" s="40">
        <v>0</v>
      </c>
      <c r="X14" s="41">
        <v>0</v>
      </c>
      <c r="Y14" s="94">
        <v>0</v>
      </c>
      <c r="Z14" s="41">
        <v>0</v>
      </c>
    </row>
    <row r="15" spans="1:26" ht="17" customHeight="1" x14ac:dyDescent="0.2">
      <c r="A15" s="33" t="s">
        <v>22</v>
      </c>
      <c r="B15" s="33" t="s">
        <v>24</v>
      </c>
      <c r="C15" s="33">
        <v>45</v>
      </c>
      <c r="D15" s="33"/>
      <c r="E15" s="34">
        <v>27</v>
      </c>
      <c r="F15" s="35">
        <v>18</v>
      </c>
      <c r="G15" s="34">
        <v>42</v>
      </c>
      <c r="H15" s="34">
        <v>24</v>
      </c>
      <c r="I15" s="38">
        <v>31</v>
      </c>
      <c r="J15" s="33"/>
      <c r="K15" s="34">
        <v>156</v>
      </c>
      <c r="L15" s="33">
        <v>2260</v>
      </c>
      <c r="M15" s="33">
        <v>16</v>
      </c>
      <c r="N15" s="35">
        <v>504</v>
      </c>
      <c r="O15" s="35">
        <v>271</v>
      </c>
      <c r="P15" s="35">
        <v>42</v>
      </c>
      <c r="Q15" s="33"/>
      <c r="R15" s="40">
        <v>0</v>
      </c>
      <c r="S15" s="41">
        <v>17</v>
      </c>
      <c r="T15" s="40">
        <v>19</v>
      </c>
      <c r="U15" s="36">
        <v>1</v>
      </c>
      <c r="V15" s="38">
        <v>35</v>
      </c>
      <c r="W15" s="40">
        <v>0</v>
      </c>
      <c r="X15" s="41">
        <v>4</v>
      </c>
      <c r="Y15" s="94">
        <v>0</v>
      </c>
      <c r="Z15" s="41">
        <v>0</v>
      </c>
    </row>
    <row r="16" spans="1:26" ht="17" customHeight="1" x14ac:dyDescent="0.2">
      <c r="A16" s="33" t="s">
        <v>25</v>
      </c>
      <c r="B16" s="33" t="s">
        <v>26</v>
      </c>
      <c r="C16" s="33">
        <v>1</v>
      </c>
      <c r="D16" s="33"/>
      <c r="E16" s="34">
        <v>0</v>
      </c>
      <c r="F16" s="35">
        <v>1</v>
      </c>
      <c r="G16" s="34">
        <v>0</v>
      </c>
      <c r="H16" s="34">
        <v>0</v>
      </c>
      <c r="I16" s="38">
        <v>0</v>
      </c>
      <c r="J16" s="33"/>
      <c r="K16" s="34">
        <v>0</v>
      </c>
      <c r="L16" s="33">
        <v>0</v>
      </c>
      <c r="M16" s="33">
        <v>2</v>
      </c>
      <c r="N16" s="35">
        <v>1</v>
      </c>
      <c r="O16" s="35">
        <v>0</v>
      </c>
      <c r="P16" s="35">
        <v>0</v>
      </c>
      <c r="Q16" s="33"/>
      <c r="R16" s="40">
        <v>0</v>
      </c>
      <c r="S16" s="41">
        <v>0</v>
      </c>
      <c r="T16" s="40">
        <v>0</v>
      </c>
      <c r="U16" s="36">
        <v>0</v>
      </c>
      <c r="V16" s="38">
        <v>0</v>
      </c>
      <c r="W16" s="40">
        <v>0</v>
      </c>
      <c r="X16" s="41">
        <v>0</v>
      </c>
      <c r="Y16" s="94">
        <v>0</v>
      </c>
      <c r="Z16" s="41">
        <v>0</v>
      </c>
    </row>
    <row r="17" spans="1:26" ht="17" customHeight="1" x14ac:dyDescent="0.2">
      <c r="A17" s="33" t="s">
        <v>25</v>
      </c>
      <c r="B17" s="33" t="s">
        <v>27</v>
      </c>
      <c r="C17" s="33">
        <v>5</v>
      </c>
      <c r="D17" s="33"/>
      <c r="E17" s="34">
        <v>1</v>
      </c>
      <c r="F17" s="35">
        <v>3</v>
      </c>
      <c r="G17" s="34">
        <v>1</v>
      </c>
      <c r="H17" s="34">
        <v>0</v>
      </c>
      <c r="I17" s="38">
        <v>0</v>
      </c>
      <c r="J17" s="33"/>
      <c r="K17" s="34">
        <v>3</v>
      </c>
      <c r="L17" s="33">
        <v>6</v>
      </c>
      <c r="M17" s="33">
        <v>4</v>
      </c>
      <c r="N17" s="35">
        <v>4</v>
      </c>
      <c r="O17" s="35">
        <v>2</v>
      </c>
      <c r="P17" s="35">
        <v>0</v>
      </c>
      <c r="Q17" s="33"/>
      <c r="R17" s="40">
        <v>0</v>
      </c>
      <c r="S17" s="41">
        <v>0</v>
      </c>
      <c r="T17" s="40">
        <v>0</v>
      </c>
      <c r="U17" s="36">
        <v>0</v>
      </c>
      <c r="V17" s="38">
        <v>0</v>
      </c>
      <c r="W17" s="40">
        <v>0</v>
      </c>
      <c r="X17" s="41">
        <v>0</v>
      </c>
      <c r="Y17" s="94">
        <v>0</v>
      </c>
      <c r="Z17" s="41">
        <v>0</v>
      </c>
    </row>
    <row r="18" spans="1:26" ht="17" customHeight="1" x14ac:dyDescent="0.2">
      <c r="A18" s="33" t="s">
        <v>25</v>
      </c>
      <c r="B18" s="33" t="s">
        <v>28</v>
      </c>
      <c r="C18" s="33">
        <v>1</v>
      </c>
      <c r="D18" s="33"/>
      <c r="E18" s="34">
        <v>0</v>
      </c>
      <c r="F18" s="35">
        <v>1</v>
      </c>
      <c r="G18" s="34">
        <v>1</v>
      </c>
      <c r="H18" s="34">
        <v>0</v>
      </c>
      <c r="I18" s="38">
        <v>0</v>
      </c>
      <c r="J18" s="33"/>
      <c r="K18" s="34">
        <v>0</v>
      </c>
      <c r="L18" s="33">
        <v>0</v>
      </c>
      <c r="M18" s="33">
        <v>0</v>
      </c>
      <c r="N18" s="35">
        <v>1</v>
      </c>
      <c r="O18" s="35">
        <v>1</v>
      </c>
      <c r="P18" s="35">
        <v>0</v>
      </c>
      <c r="Q18" s="33"/>
      <c r="R18" s="40">
        <v>0</v>
      </c>
      <c r="S18" s="41">
        <v>0</v>
      </c>
      <c r="T18" s="40">
        <v>0</v>
      </c>
      <c r="U18" s="36">
        <v>0</v>
      </c>
      <c r="V18" s="38">
        <v>0</v>
      </c>
      <c r="W18" s="40">
        <v>0</v>
      </c>
      <c r="X18" s="41">
        <v>0</v>
      </c>
      <c r="Y18" s="94">
        <v>0</v>
      </c>
      <c r="Z18" s="41">
        <v>0</v>
      </c>
    </row>
    <row r="19" spans="1:26" ht="17" customHeight="1" x14ac:dyDescent="0.2">
      <c r="A19" s="33" t="s">
        <v>29</v>
      </c>
      <c r="B19" s="33" t="s">
        <v>30</v>
      </c>
      <c r="C19" s="33">
        <v>2</v>
      </c>
      <c r="D19" s="33"/>
      <c r="E19" s="34">
        <v>0</v>
      </c>
      <c r="F19" s="35">
        <v>1</v>
      </c>
      <c r="G19" s="34">
        <v>0</v>
      </c>
      <c r="H19" s="34">
        <v>0</v>
      </c>
      <c r="I19" s="38">
        <v>0</v>
      </c>
      <c r="J19" s="33"/>
      <c r="K19" s="34">
        <v>0</v>
      </c>
      <c r="L19" s="33">
        <v>0</v>
      </c>
      <c r="M19" s="33">
        <v>2</v>
      </c>
      <c r="N19" s="35">
        <v>0</v>
      </c>
      <c r="O19" s="35">
        <v>0</v>
      </c>
      <c r="P19" s="35">
        <v>0</v>
      </c>
      <c r="Q19" s="33"/>
      <c r="R19" s="40">
        <v>0</v>
      </c>
      <c r="S19" s="41">
        <v>0</v>
      </c>
      <c r="T19" s="40">
        <v>0</v>
      </c>
      <c r="U19" s="36">
        <v>0</v>
      </c>
      <c r="V19" s="38">
        <v>0</v>
      </c>
      <c r="W19" s="40">
        <v>0</v>
      </c>
      <c r="X19" s="41">
        <v>0</v>
      </c>
      <c r="Y19" s="94">
        <v>0</v>
      </c>
      <c r="Z19" s="41">
        <v>0</v>
      </c>
    </row>
    <row r="20" spans="1:26" ht="17" customHeight="1" x14ac:dyDescent="0.2">
      <c r="A20" s="33" t="s">
        <v>29</v>
      </c>
      <c r="B20" s="33" t="s">
        <v>31</v>
      </c>
      <c r="C20" s="33">
        <v>3</v>
      </c>
      <c r="D20" s="33"/>
      <c r="E20" s="34">
        <v>1</v>
      </c>
      <c r="F20" s="35">
        <v>2</v>
      </c>
      <c r="G20" s="34">
        <v>3</v>
      </c>
      <c r="H20" s="34">
        <v>0</v>
      </c>
      <c r="I20" s="38">
        <v>2</v>
      </c>
      <c r="J20" s="33"/>
      <c r="K20" s="34">
        <v>6</v>
      </c>
      <c r="L20" s="33">
        <v>0</v>
      </c>
      <c r="M20" s="33">
        <v>0</v>
      </c>
      <c r="N20" s="35">
        <v>4</v>
      </c>
      <c r="O20" s="35">
        <v>5</v>
      </c>
      <c r="P20" s="35">
        <v>0</v>
      </c>
      <c r="Q20" s="33"/>
      <c r="R20" s="40">
        <v>0</v>
      </c>
      <c r="S20" s="41">
        <v>0</v>
      </c>
      <c r="T20" s="40">
        <v>0</v>
      </c>
      <c r="U20" s="36">
        <v>0</v>
      </c>
      <c r="V20" s="38">
        <v>0</v>
      </c>
      <c r="W20" s="40">
        <v>4</v>
      </c>
      <c r="X20" s="41">
        <v>0</v>
      </c>
      <c r="Y20" s="94">
        <v>0</v>
      </c>
      <c r="Z20" s="41">
        <v>0</v>
      </c>
    </row>
    <row r="21" spans="1:26" ht="17" customHeight="1" x14ac:dyDescent="0.2">
      <c r="A21" s="33" t="s">
        <v>29</v>
      </c>
      <c r="B21" s="33" t="s">
        <v>32</v>
      </c>
      <c r="C21" s="33">
        <v>1</v>
      </c>
      <c r="D21" s="33"/>
      <c r="E21" s="34">
        <v>1</v>
      </c>
      <c r="F21" s="35">
        <v>0</v>
      </c>
      <c r="G21" s="34">
        <v>0</v>
      </c>
      <c r="H21" s="34">
        <v>0</v>
      </c>
      <c r="I21" s="38">
        <v>1</v>
      </c>
      <c r="J21" s="33"/>
      <c r="K21" s="34">
        <v>3</v>
      </c>
      <c r="L21" s="33">
        <v>0</v>
      </c>
      <c r="M21" s="33">
        <v>0</v>
      </c>
      <c r="N21" s="35">
        <v>1</v>
      </c>
      <c r="O21" s="35">
        <v>0</v>
      </c>
      <c r="P21" s="35">
        <v>0</v>
      </c>
      <c r="Q21" s="33"/>
      <c r="R21" s="40">
        <v>0</v>
      </c>
      <c r="S21" s="41">
        <v>0</v>
      </c>
      <c r="T21" s="40">
        <v>1</v>
      </c>
      <c r="U21" s="36">
        <v>0</v>
      </c>
      <c r="V21" s="38">
        <v>2</v>
      </c>
      <c r="W21" s="40">
        <v>0</v>
      </c>
      <c r="X21" s="41">
        <v>0</v>
      </c>
      <c r="Y21" s="94">
        <v>0</v>
      </c>
      <c r="Z21" s="41">
        <v>1</v>
      </c>
    </row>
    <row r="22" spans="1:26" ht="17" customHeight="1" x14ac:dyDescent="0.2">
      <c r="A22" s="33" t="s">
        <v>33</v>
      </c>
      <c r="B22" s="33" t="s">
        <v>34</v>
      </c>
      <c r="C22" s="33">
        <v>1</v>
      </c>
      <c r="D22" s="33"/>
      <c r="E22" s="34">
        <v>0</v>
      </c>
      <c r="F22" s="35">
        <v>1</v>
      </c>
      <c r="G22" s="34">
        <v>0</v>
      </c>
      <c r="H22" s="34">
        <v>1</v>
      </c>
      <c r="I22" s="38">
        <v>0</v>
      </c>
      <c r="J22" s="33"/>
      <c r="K22" s="34">
        <v>0</v>
      </c>
      <c r="L22" s="33">
        <v>0</v>
      </c>
      <c r="M22" s="33">
        <v>0</v>
      </c>
      <c r="N22" s="35">
        <v>3</v>
      </c>
      <c r="O22" s="35">
        <v>0</v>
      </c>
      <c r="P22" s="35">
        <v>1</v>
      </c>
      <c r="Q22" s="33"/>
      <c r="R22" s="40">
        <v>0</v>
      </c>
      <c r="S22" s="41">
        <v>0</v>
      </c>
      <c r="T22" s="40">
        <v>0</v>
      </c>
      <c r="U22" s="36">
        <v>0</v>
      </c>
      <c r="V22" s="38">
        <v>0</v>
      </c>
      <c r="W22" s="40">
        <v>0</v>
      </c>
      <c r="X22" s="41">
        <v>0</v>
      </c>
      <c r="Y22" s="94">
        <v>0</v>
      </c>
      <c r="Z22" s="41">
        <v>0</v>
      </c>
    </row>
    <row r="23" spans="1:26" ht="17" customHeight="1" x14ac:dyDescent="0.2">
      <c r="A23" s="33" t="s">
        <v>33</v>
      </c>
      <c r="B23" s="33" t="s">
        <v>35</v>
      </c>
      <c r="C23" s="33">
        <v>13</v>
      </c>
      <c r="D23" s="33"/>
      <c r="E23" s="34">
        <v>5</v>
      </c>
      <c r="F23" s="35">
        <v>7</v>
      </c>
      <c r="G23" s="34">
        <v>4</v>
      </c>
      <c r="H23" s="34">
        <v>6</v>
      </c>
      <c r="I23" s="38">
        <v>3</v>
      </c>
      <c r="J23" s="33"/>
      <c r="K23" s="34">
        <v>18</v>
      </c>
      <c r="L23" s="33">
        <v>10</v>
      </c>
      <c r="M23" s="33">
        <v>6</v>
      </c>
      <c r="N23" s="35">
        <v>34</v>
      </c>
      <c r="O23" s="35">
        <v>4</v>
      </c>
      <c r="P23" s="35">
        <v>8</v>
      </c>
      <c r="Q23" s="33"/>
      <c r="R23" s="40">
        <v>0</v>
      </c>
      <c r="S23" s="41">
        <v>0</v>
      </c>
      <c r="T23" s="40">
        <v>1</v>
      </c>
      <c r="U23" s="36">
        <v>0</v>
      </c>
      <c r="V23" s="38">
        <v>0</v>
      </c>
      <c r="W23" s="40">
        <v>0</v>
      </c>
      <c r="X23" s="41">
        <v>0</v>
      </c>
      <c r="Y23" s="94">
        <v>2</v>
      </c>
      <c r="Z23" s="41">
        <v>0</v>
      </c>
    </row>
    <row r="24" spans="1:26" ht="17" customHeight="1" x14ac:dyDescent="0.2">
      <c r="A24" s="33" t="s">
        <v>33</v>
      </c>
      <c r="B24" s="33" t="s">
        <v>36</v>
      </c>
      <c r="C24" s="33">
        <v>6</v>
      </c>
      <c r="D24" s="33"/>
      <c r="E24" s="34">
        <v>0</v>
      </c>
      <c r="F24" s="35">
        <v>6</v>
      </c>
      <c r="G24" s="34">
        <v>1</v>
      </c>
      <c r="H24" s="34">
        <v>4</v>
      </c>
      <c r="I24" s="38">
        <v>0</v>
      </c>
      <c r="J24" s="33"/>
      <c r="K24" s="34">
        <v>0</v>
      </c>
      <c r="L24" s="33">
        <v>0</v>
      </c>
      <c r="M24" s="33">
        <v>0</v>
      </c>
      <c r="N24" s="35">
        <v>14</v>
      </c>
      <c r="O24" s="35">
        <v>1</v>
      </c>
      <c r="P24" s="35">
        <v>5</v>
      </c>
      <c r="Q24" s="33"/>
      <c r="R24" s="40">
        <v>0</v>
      </c>
      <c r="S24" s="41">
        <v>0</v>
      </c>
      <c r="T24" s="40">
        <v>0</v>
      </c>
      <c r="U24" s="36">
        <v>0</v>
      </c>
      <c r="V24" s="38">
        <v>0</v>
      </c>
      <c r="W24" s="40">
        <v>0</v>
      </c>
      <c r="X24" s="41">
        <v>0</v>
      </c>
      <c r="Y24" s="94">
        <v>0</v>
      </c>
      <c r="Z24" s="41">
        <v>0</v>
      </c>
    </row>
    <row r="25" spans="1:26" ht="17" customHeight="1" x14ac:dyDescent="0.2">
      <c r="A25" s="33" t="s">
        <v>33</v>
      </c>
      <c r="B25" s="33" t="s">
        <v>37</v>
      </c>
      <c r="C25" s="33">
        <v>4</v>
      </c>
      <c r="D25" s="33"/>
      <c r="E25" s="34">
        <v>2</v>
      </c>
      <c r="F25" s="35">
        <v>1</v>
      </c>
      <c r="G25" s="34">
        <v>3</v>
      </c>
      <c r="H25" s="34">
        <v>2</v>
      </c>
      <c r="I25" s="38">
        <v>2</v>
      </c>
      <c r="J25" s="33"/>
      <c r="K25" s="34">
        <v>12</v>
      </c>
      <c r="L25" s="33">
        <v>16</v>
      </c>
      <c r="M25" s="33">
        <v>2</v>
      </c>
      <c r="N25" s="35">
        <v>4</v>
      </c>
      <c r="O25" s="35">
        <v>6</v>
      </c>
      <c r="P25" s="35">
        <v>5</v>
      </c>
      <c r="Q25" s="33"/>
      <c r="R25" s="40">
        <v>0</v>
      </c>
      <c r="S25" s="41">
        <v>0</v>
      </c>
      <c r="T25" s="40">
        <v>0</v>
      </c>
      <c r="U25" s="36">
        <v>1</v>
      </c>
      <c r="V25" s="38">
        <v>1</v>
      </c>
      <c r="W25" s="40">
        <v>0</v>
      </c>
      <c r="X25" s="41">
        <v>1</v>
      </c>
      <c r="Y25" s="94">
        <v>0</v>
      </c>
      <c r="Z25" s="41">
        <v>0</v>
      </c>
    </row>
    <row r="26" spans="1:26" ht="17" customHeight="1" x14ac:dyDescent="0.2">
      <c r="A26" s="33" t="s">
        <v>33</v>
      </c>
      <c r="B26" s="33" t="s">
        <v>38</v>
      </c>
      <c r="C26" s="33">
        <v>3</v>
      </c>
      <c r="D26" s="33"/>
      <c r="E26" s="34">
        <v>0</v>
      </c>
      <c r="F26" s="35">
        <v>3</v>
      </c>
      <c r="G26" s="34">
        <v>2</v>
      </c>
      <c r="H26" s="34">
        <v>0</v>
      </c>
      <c r="I26" s="38">
        <v>2</v>
      </c>
      <c r="J26" s="33"/>
      <c r="K26" s="34">
        <v>0</v>
      </c>
      <c r="L26" s="33">
        <v>6</v>
      </c>
      <c r="M26" s="33">
        <v>2</v>
      </c>
      <c r="N26" s="35">
        <v>5</v>
      </c>
      <c r="O26" s="35">
        <v>3</v>
      </c>
      <c r="P26" s="35">
        <v>0</v>
      </c>
      <c r="Q26" s="33"/>
      <c r="R26" s="40">
        <v>0</v>
      </c>
      <c r="S26" s="41">
        <v>1</v>
      </c>
      <c r="T26" s="40">
        <v>2</v>
      </c>
      <c r="U26" s="36">
        <v>0</v>
      </c>
      <c r="V26" s="38">
        <v>0</v>
      </c>
      <c r="W26" s="40">
        <v>0</v>
      </c>
      <c r="X26" s="41">
        <v>0</v>
      </c>
      <c r="Y26" s="94">
        <v>0</v>
      </c>
      <c r="Z26" s="41">
        <v>0</v>
      </c>
    </row>
    <row r="27" spans="1:26" ht="17" customHeight="1" x14ac:dyDescent="0.2">
      <c r="A27" s="33" t="s">
        <v>33</v>
      </c>
      <c r="B27" s="33" t="s">
        <v>39</v>
      </c>
      <c r="C27" s="33">
        <v>4</v>
      </c>
      <c r="D27" s="33"/>
      <c r="E27" s="34">
        <v>1</v>
      </c>
      <c r="F27" s="35">
        <v>1</v>
      </c>
      <c r="G27" s="34">
        <v>1</v>
      </c>
      <c r="H27" s="34">
        <v>0</v>
      </c>
      <c r="I27" s="38">
        <v>3</v>
      </c>
      <c r="J27" s="33"/>
      <c r="K27" s="34">
        <v>3</v>
      </c>
      <c r="L27" s="33">
        <v>2</v>
      </c>
      <c r="M27" s="33">
        <v>0</v>
      </c>
      <c r="N27" s="35">
        <v>0</v>
      </c>
      <c r="O27" s="35">
        <v>3</v>
      </c>
      <c r="P27" s="35">
        <v>0</v>
      </c>
      <c r="Q27" s="33"/>
      <c r="R27" s="40">
        <v>0</v>
      </c>
      <c r="S27" s="41">
        <v>0</v>
      </c>
      <c r="T27" s="40">
        <v>0</v>
      </c>
      <c r="U27" s="36">
        <v>1</v>
      </c>
      <c r="V27" s="38">
        <v>1</v>
      </c>
      <c r="W27" s="40">
        <v>4</v>
      </c>
      <c r="X27" s="41">
        <v>0</v>
      </c>
      <c r="Y27" s="94">
        <v>0</v>
      </c>
      <c r="Z27" s="41">
        <v>0</v>
      </c>
    </row>
    <row r="28" spans="1:26" ht="17" customHeight="1" x14ac:dyDescent="0.2">
      <c r="A28" s="33" t="s">
        <v>33</v>
      </c>
      <c r="B28" s="33" t="s">
        <v>40</v>
      </c>
      <c r="C28" s="33">
        <v>1</v>
      </c>
      <c r="D28" s="33"/>
      <c r="E28" s="34">
        <v>0</v>
      </c>
      <c r="F28" s="35">
        <v>1</v>
      </c>
      <c r="G28" s="34">
        <v>1</v>
      </c>
      <c r="H28" s="34">
        <v>0</v>
      </c>
      <c r="I28" s="38">
        <v>0</v>
      </c>
      <c r="J28" s="33"/>
      <c r="K28" s="34">
        <v>0</v>
      </c>
      <c r="L28" s="33">
        <v>0</v>
      </c>
      <c r="M28" s="33">
        <v>0</v>
      </c>
      <c r="N28" s="35">
        <v>1</v>
      </c>
      <c r="O28" s="35">
        <v>1</v>
      </c>
      <c r="P28" s="35">
        <v>0</v>
      </c>
      <c r="Q28" s="33"/>
      <c r="R28" s="40">
        <v>0</v>
      </c>
      <c r="S28" s="41">
        <v>0</v>
      </c>
      <c r="T28" s="40">
        <v>0</v>
      </c>
      <c r="U28" s="36">
        <v>0</v>
      </c>
      <c r="V28" s="38">
        <v>0</v>
      </c>
      <c r="W28" s="40">
        <v>0</v>
      </c>
      <c r="X28" s="41">
        <v>0</v>
      </c>
      <c r="Y28" s="94">
        <v>0</v>
      </c>
      <c r="Z28" s="41">
        <v>0</v>
      </c>
    </row>
    <row r="29" spans="1:26" ht="17" customHeight="1" x14ac:dyDescent="0.2">
      <c r="A29" s="33" t="s">
        <v>33</v>
      </c>
      <c r="B29" s="33" t="s">
        <v>41</v>
      </c>
      <c r="C29" s="33">
        <v>1</v>
      </c>
      <c r="D29" s="33"/>
      <c r="E29" s="34">
        <v>1</v>
      </c>
      <c r="F29" s="35">
        <v>0</v>
      </c>
      <c r="G29" s="34">
        <v>1</v>
      </c>
      <c r="H29" s="34">
        <v>0</v>
      </c>
      <c r="I29" s="38">
        <v>0</v>
      </c>
      <c r="J29" s="33"/>
      <c r="K29" s="34">
        <v>6</v>
      </c>
      <c r="L29" s="33">
        <v>0</v>
      </c>
      <c r="M29" s="33">
        <v>0</v>
      </c>
      <c r="N29" s="35">
        <v>0</v>
      </c>
      <c r="O29" s="35">
        <v>1</v>
      </c>
      <c r="P29" s="35">
        <v>0</v>
      </c>
      <c r="Q29" s="33"/>
      <c r="R29" s="40">
        <v>0</v>
      </c>
      <c r="S29" s="41">
        <v>0</v>
      </c>
      <c r="T29" s="40">
        <v>0</v>
      </c>
      <c r="U29" s="36">
        <v>0</v>
      </c>
      <c r="V29" s="38">
        <v>0</v>
      </c>
      <c r="W29" s="40">
        <v>0</v>
      </c>
      <c r="X29" s="41">
        <v>0</v>
      </c>
      <c r="Y29" s="94">
        <v>0</v>
      </c>
      <c r="Z29" s="41">
        <v>0</v>
      </c>
    </row>
    <row r="30" spans="1:26" ht="17" customHeight="1" x14ac:dyDescent="0.2">
      <c r="A30" s="33" t="s">
        <v>33</v>
      </c>
      <c r="B30" s="33" t="s">
        <v>42</v>
      </c>
      <c r="C30" s="33">
        <v>8</v>
      </c>
      <c r="D30" s="33"/>
      <c r="E30" s="34">
        <v>5</v>
      </c>
      <c r="F30" s="35">
        <v>2</v>
      </c>
      <c r="G30" s="34">
        <v>4</v>
      </c>
      <c r="H30" s="34">
        <v>0</v>
      </c>
      <c r="I30" s="38">
        <v>3</v>
      </c>
      <c r="J30" s="33"/>
      <c r="K30" s="34">
        <v>15</v>
      </c>
      <c r="L30" s="33">
        <v>8</v>
      </c>
      <c r="M30" s="33">
        <v>6</v>
      </c>
      <c r="N30" s="35">
        <v>10</v>
      </c>
      <c r="O30" s="35">
        <v>8</v>
      </c>
      <c r="P30" s="35">
        <v>0</v>
      </c>
      <c r="Q30" s="33"/>
      <c r="R30" s="40">
        <v>0</v>
      </c>
      <c r="S30" s="41">
        <v>2</v>
      </c>
      <c r="T30" s="40">
        <v>0</v>
      </c>
      <c r="U30" s="36">
        <v>0</v>
      </c>
      <c r="V30" s="38">
        <v>0</v>
      </c>
      <c r="W30" s="40">
        <v>2</v>
      </c>
      <c r="X30" s="41">
        <v>2</v>
      </c>
      <c r="Y30" s="94">
        <v>0</v>
      </c>
      <c r="Z30" s="41">
        <v>0</v>
      </c>
    </row>
    <row r="31" spans="1:26" ht="17" customHeight="1" x14ac:dyDescent="0.2">
      <c r="A31" s="33" t="s">
        <v>33</v>
      </c>
      <c r="B31" s="33" t="s">
        <v>43</v>
      </c>
      <c r="C31" s="33">
        <v>2</v>
      </c>
      <c r="D31" s="33"/>
      <c r="E31" s="34">
        <v>1</v>
      </c>
      <c r="F31" s="35">
        <v>1</v>
      </c>
      <c r="G31" s="34">
        <v>2</v>
      </c>
      <c r="H31" s="34">
        <v>1</v>
      </c>
      <c r="I31" s="38">
        <v>2</v>
      </c>
      <c r="J31" s="33"/>
      <c r="K31" s="34">
        <v>3</v>
      </c>
      <c r="L31" s="33">
        <v>0</v>
      </c>
      <c r="M31" s="33">
        <v>4</v>
      </c>
      <c r="N31" s="35">
        <v>5</v>
      </c>
      <c r="O31" s="35">
        <v>3</v>
      </c>
      <c r="P31" s="35">
        <v>1</v>
      </c>
      <c r="Q31" s="33"/>
      <c r="R31" s="40">
        <v>0</v>
      </c>
      <c r="S31" s="41">
        <v>1</v>
      </c>
      <c r="T31" s="40">
        <v>3</v>
      </c>
      <c r="U31" s="36">
        <v>0</v>
      </c>
      <c r="V31" s="38">
        <v>0</v>
      </c>
      <c r="W31" s="40">
        <v>0</v>
      </c>
      <c r="X31" s="41">
        <v>0</v>
      </c>
      <c r="Y31" s="94">
        <v>0</v>
      </c>
      <c r="Z31" s="41">
        <v>0</v>
      </c>
    </row>
    <row r="32" spans="1:26" ht="17" customHeight="1" x14ac:dyDescent="0.2">
      <c r="A32" s="33" t="s">
        <v>33</v>
      </c>
      <c r="B32" s="33" t="s">
        <v>44</v>
      </c>
      <c r="C32" s="33">
        <v>6</v>
      </c>
      <c r="D32" s="33"/>
      <c r="E32" s="34">
        <v>2</v>
      </c>
      <c r="F32" s="35">
        <v>2</v>
      </c>
      <c r="G32" s="34">
        <v>4</v>
      </c>
      <c r="H32" s="34">
        <v>0</v>
      </c>
      <c r="I32" s="38">
        <v>3</v>
      </c>
      <c r="J32" s="33"/>
      <c r="K32" s="34">
        <v>18</v>
      </c>
      <c r="L32" s="33">
        <v>6</v>
      </c>
      <c r="M32" s="33">
        <v>10</v>
      </c>
      <c r="N32" s="35">
        <v>6</v>
      </c>
      <c r="O32" s="35">
        <v>12</v>
      </c>
      <c r="P32" s="35">
        <v>0</v>
      </c>
      <c r="Q32" s="33"/>
      <c r="R32" s="40">
        <v>0</v>
      </c>
      <c r="S32" s="41">
        <v>1</v>
      </c>
      <c r="T32" s="40">
        <v>1</v>
      </c>
      <c r="U32" s="36">
        <v>0</v>
      </c>
      <c r="V32" s="38">
        <v>0</v>
      </c>
      <c r="W32" s="40">
        <v>1</v>
      </c>
      <c r="X32" s="41">
        <v>0</v>
      </c>
      <c r="Y32" s="94">
        <v>0</v>
      </c>
      <c r="Z32" s="41">
        <v>0</v>
      </c>
    </row>
    <row r="33" spans="1:26" ht="17" customHeight="1" x14ac:dyDescent="0.2">
      <c r="A33" s="33" t="s">
        <v>33</v>
      </c>
      <c r="B33" s="33" t="s">
        <v>45</v>
      </c>
      <c r="C33" s="33">
        <v>3</v>
      </c>
      <c r="D33" s="33"/>
      <c r="E33" s="34">
        <v>0</v>
      </c>
      <c r="F33" s="35">
        <v>2</v>
      </c>
      <c r="G33" s="34">
        <v>0</v>
      </c>
      <c r="H33" s="34">
        <v>0</v>
      </c>
      <c r="I33" s="38">
        <v>2</v>
      </c>
      <c r="J33" s="33"/>
      <c r="K33" s="34">
        <v>0</v>
      </c>
      <c r="L33" s="33">
        <v>0</v>
      </c>
      <c r="M33" s="33">
        <v>2</v>
      </c>
      <c r="N33" s="35">
        <v>4</v>
      </c>
      <c r="O33" s="35">
        <v>0</v>
      </c>
      <c r="P33" s="35">
        <v>0</v>
      </c>
      <c r="Q33" s="33"/>
      <c r="R33" s="40">
        <v>0</v>
      </c>
      <c r="S33" s="41">
        <v>1</v>
      </c>
      <c r="T33" s="40">
        <v>0</v>
      </c>
      <c r="U33" s="36">
        <v>0</v>
      </c>
      <c r="V33" s="38">
        <v>0</v>
      </c>
      <c r="W33" s="40">
        <v>0</v>
      </c>
      <c r="X33" s="41">
        <v>1</v>
      </c>
      <c r="Y33" s="94">
        <v>0</v>
      </c>
      <c r="Z33" s="41">
        <v>0</v>
      </c>
    </row>
    <row r="34" spans="1:26" ht="17" customHeight="1" x14ac:dyDescent="0.2">
      <c r="A34" s="33" t="s">
        <v>33</v>
      </c>
      <c r="B34" s="33" t="s">
        <v>46</v>
      </c>
      <c r="C34" s="33">
        <v>1</v>
      </c>
      <c r="D34" s="33"/>
      <c r="E34" s="34">
        <v>0</v>
      </c>
      <c r="F34" s="35">
        <v>1</v>
      </c>
      <c r="G34" s="34">
        <v>1</v>
      </c>
      <c r="H34" s="34">
        <v>0</v>
      </c>
      <c r="I34" s="38">
        <v>1</v>
      </c>
      <c r="J34" s="33"/>
      <c r="K34" s="34">
        <v>0</v>
      </c>
      <c r="L34" s="33">
        <v>0</v>
      </c>
      <c r="M34" s="33">
        <v>2</v>
      </c>
      <c r="N34" s="35">
        <v>2</v>
      </c>
      <c r="O34" s="35">
        <v>1</v>
      </c>
      <c r="P34" s="35">
        <v>0</v>
      </c>
      <c r="Q34" s="33"/>
      <c r="R34" s="40">
        <v>0</v>
      </c>
      <c r="S34" s="41">
        <v>1</v>
      </c>
      <c r="T34" s="40">
        <v>1</v>
      </c>
      <c r="U34" s="36">
        <v>0</v>
      </c>
      <c r="V34" s="38">
        <v>0</v>
      </c>
      <c r="W34" s="40">
        <v>0</v>
      </c>
      <c r="X34" s="41">
        <v>0</v>
      </c>
      <c r="Y34" s="94">
        <v>0</v>
      </c>
      <c r="Z34" s="41">
        <v>0</v>
      </c>
    </row>
    <row r="35" spans="1:26" ht="17" customHeight="1" x14ac:dyDescent="0.2">
      <c r="A35" s="33" t="s">
        <v>33</v>
      </c>
      <c r="B35" s="33" t="s">
        <v>47</v>
      </c>
      <c r="C35" s="33">
        <v>1</v>
      </c>
      <c r="D35" s="33"/>
      <c r="E35" s="34">
        <v>0</v>
      </c>
      <c r="F35" s="35">
        <v>1</v>
      </c>
      <c r="G35" s="34">
        <v>1</v>
      </c>
      <c r="H35" s="34">
        <v>0</v>
      </c>
      <c r="I35" s="38">
        <v>1</v>
      </c>
      <c r="J35" s="33"/>
      <c r="K35" s="34">
        <v>0</v>
      </c>
      <c r="L35" s="33">
        <v>10</v>
      </c>
      <c r="M35" s="33">
        <v>0</v>
      </c>
      <c r="N35" s="35">
        <v>3</v>
      </c>
      <c r="O35" s="35">
        <v>1</v>
      </c>
      <c r="P35" s="35">
        <v>0</v>
      </c>
      <c r="Q35" s="33"/>
      <c r="R35" s="40">
        <v>0</v>
      </c>
      <c r="S35" s="41">
        <v>0</v>
      </c>
      <c r="T35" s="40">
        <v>0</v>
      </c>
      <c r="U35" s="36">
        <v>0</v>
      </c>
      <c r="V35" s="38">
        <v>1</v>
      </c>
      <c r="W35" s="40">
        <v>0</v>
      </c>
      <c r="X35" s="41">
        <v>0</v>
      </c>
      <c r="Y35" s="94">
        <v>0</v>
      </c>
      <c r="Z35" s="41">
        <v>0</v>
      </c>
    </row>
    <row r="36" spans="1:26" ht="17" customHeight="1" x14ac:dyDescent="0.2">
      <c r="A36" s="33" t="s">
        <v>33</v>
      </c>
      <c r="B36" s="33" t="s">
        <v>48</v>
      </c>
      <c r="C36" s="33">
        <v>1</v>
      </c>
      <c r="D36" s="33"/>
      <c r="E36" s="34">
        <v>1</v>
      </c>
      <c r="F36" s="35">
        <v>0</v>
      </c>
      <c r="G36" s="34">
        <v>1</v>
      </c>
      <c r="H36" s="34">
        <v>0</v>
      </c>
      <c r="I36" s="38">
        <v>0</v>
      </c>
      <c r="J36" s="33"/>
      <c r="K36" s="34">
        <v>3</v>
      </c>
      <c r="L36" s="33">
        <v>0</v>
      </c>
      <c r="M36" s="33">
        <v>0</v>
      </c>
      <c r="N36" s="35">
        <v>1</v>
      </c>
      <c r="O36" s="35">
        <v>1</v>
      </c>
      <c r="P36" s="35">
        <v>0</v>
      </c>
      <c r="Q36" s="33"/>
      <c r="R36" s="40">
        <v>0</v>
      </c>
      <c r="S36" s="41">
        <v>0</v>
      </c>
      <c r="T36" s="40">
        <v>0</v>
      </c>
      <c r="U36" s="36">
        <v>0</v>
      </c>
      <c r="V36" s="38">
        <v>0</v>
      </c>
      <c r="W36" s="40">
        <v>0</v>
      </c>
      <c r="X36" s="41">
        <v>0</v>
      </c>
      <c r="Y36" s="94">
        <v>0</v>
      </c>
      <c r="Z36" s="41">
        <v>0</v>
      </c>
    </row>
    <row r="37" spans="1:26" ht="17" customHeight="1" x14ac:dyDescent="0.2">
      <c r="A37" s="33" t="s">
        <v>49</v>
      </c>
      <c r="B37" s="33" t="s">
        <v>49</v>
      </c>
      <c r="C37" s="33">
        <v>1</v>
      </c>
      <c r="D37" s="33"/>
      <c r="E37" s="34">
        <v>1</v>
      </c>
      <c r="F37" s="35">
        <v>0</v>
      </c>
      <c r="G37" s="34">
        <v>1</v>
      </c>
      <c r="H37" s="34">
        <v>0</v>
      </c>
      <c r="I37" s="38">
        <v>1</v>
      </c>
      <c r="J37" s="33"/>
      <c r="K37" s="34">
        <v>6</v>
      </c>
      <c r="L37" s="33">
        <v>0</v>
      </c>
      <c r="M37" s="33">
        <v>0</v>
      </c>
      <c r="N37" s="35">
        <v>2</v>
      </c>
      <c r="O37" s="35">
        <v>1</v>
      </c>
      <c r="P37" s="35">
        <v>0</v>
      </c>
      <c r="Q37" s="33"/>
      <c r="R37" s="40">
        <v>0</v>
      </c>
      <c r="S37" s="41">
        <v>1</v>
      </c>
      <c r="T37" s="40">
        <v>0</v>
      </c>
      <c r="U37" s="36">
        <v>0</v>
      </c>
      <c r="V37" s="38">
        <v>0</v>
      </c>
      <c r="W37" s="40">
        <v>0</v>
      </c>
      <c r="X37" s="41">
        <v>0</v>
      </c>
      <c r="Y37" s="94">
        <v>0</v>
      </c>
      <c r="Z37" s="41">
        <v>0</v>
      </c>
    </row>
    <row r="38" spans="1:26" ht="17" customHeight="1" x14ac:dyDescent="0.2">
      <c r="A38" s="32" t="s">
        <v>50</v>
      </c>
      <c r="B38" s="32" t="s">
        <v>50</v>
      </c>
      <c r="C38" s="32">
        <v>1</v>
      </c>
      <c r="D38" s="33"/>
      <c r="E38" s="30">
        <v>0</v>
      </c>
      <c r="F38" s="31">
        <v>1</v>
      </c>
      <c r="G38" s="30">
        <v>1</v>
      </c>
      <c r="H38" s="30">
        <v>0</v>
      </c>
      <c r="I38" s="39">
        <v>0</v>
      </c>
      <c r="J38" s="33"/>
      <c r="K38" s="30">
        <v>0</v>
      </c>
      <c r="L38" s="32">
        <v>0</v>
      </c>
      <c r="M38" s="32">
        <v>0</v>
      </c>
      <c r="N38" s="31">
        <v>1</v>
      </c>
      <c r="O38" s="31">
        <v>2</v>
      </c>
      <c r="P38" s="31">
        <v>0</v>
      </c>
      <c r="Q38" s="33"/>
      <c r="R38" s="42">
        <v>0</v>
      </c>
      <c r="S38" s="43">
        <v>0</v>
      </c>
      <c r="T38" s="42">
        <v>0</v>
      </c>
      <c r="U38" s="44">
        <v>0</v>
      </c>
      <c r="V38" s="39">
        <v>0</v>
      </c>
      <c r="W38" s="42">
        <v>0</v>
      </c>
      <c r="X38" s="43">
        <v>0</v>
      </c>
      <c r="Y38" s="44">
        <v>0</v>
      </c>
      <c r="Z38" s="43">
        <v>0</v>
      </c>
    </row>
    <row r="40" spans="1:26" x14ac:dyDescent="0.2">
      <c r="E40" s="36"/>
    </row>
  </sheetData>
  <mergeCells count="26">
    <mergeCell ref="A1:A4"/>
    <mergeCell ref="B1:B4"/>
    <mergeCell ref="W2:X2"/>
    <mergeCell ref="Y2:Z2"/>
    <mergeCell ref="E3:F3"/>
    <mergeCell ref="K3:N3"/>
    <mergeCell ref="G3:G4"/>
    <mergeCell ref="O3:O4"/>
    <mergeCell ref="H3:H4"/>
    <mergeCell ref="P3:P4"/>
    <mergeCell ref="R1:Z1"/>
    <mergeCell ref="K1:P2"/>
    <mergeCell ref="E1:I2"/>
    <mergeCell ref="C1:C4"/>
    <mergeCell ref="W3:W4"/>
    <mergeCell ref="X3:X4"/>
    <mergeCell ref="Y3:Y4"/>
    <mergeCell ref="Z3:Z4"/>
    <mergeCell ref="I3:I4"/>
    <mergeCell ref="R3:R4"/>
    <mergeCell ref="S3:S4"/>
    <mergeCell ref="T3:T4"/>
    <mergeCell ref="U3:U4"/>
    <mergeCell ref="V3:V4"/>
    <mergeCell ref="R2:S2"/>
    <mergeCell ref="T2:U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Table S6</vt:lpstr>
      <vt:lpstr>pks_in_sags</vt:lpstr>
      <vt:lpstr>per_query</vt:lpstr>
      <vt:lpstr>Per SAG</vt:lpstr>
      <vt:lpstr>Table S6_FINAL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Aleix Obiol</dc:creator>
  <cp:lastModifiedBy>Ramon Massana</cp:lastModifiedBy>
  <dcterms:created xsi:type="dcterms:W3CDTF">2026-03-03T14:09:06Z</dcterms:created>
  <dcterms:modified xsi:type="dcterms:W3CDTF">2026-03-27T13:40:59Z</dcterms:modified>
</cp:coreProperties>
</file>