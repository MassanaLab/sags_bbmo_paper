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monM/Desktop/Guillem's/mitags/"/>
    </mc:Choice>
  </mc:AlternateContent>
  <xr:revisionPtr revIDLastSave="0" documentId="13_ncr:1_{305E2424-C1FC-3340-8086-4DA4DE674DFA}" xr6:coauthVersionLast="47" xr6:coauthVersionMax="47" xr10:uidLastSave="{00000000-0000-0000-0000-000000000000}"/>
  <bookViews>
    <workbookView xWindow="3660" yWindow="1320" windowWidth="28740" windowHeight="19680" xr2:uid="{FA74F06F-F7A2-2447-A74D-57C984AB141E}"/>
  </bookViews>
  <sheets>
    <sheet name="sept26_mtags_otu_table_table_c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9" i="1" l="1"/>
  <c r="K236" i="1"/>
  <c r="K211" i="1"/>
  <c r="K185" i="1"/>
  <c r="K169" i="1"/>
  <c r="K158" i="1"/>
  <c r="K151" i="1"/>
  <c r="K100" i="1"/>
  <c r="K59" i="1"/>
  <c r="K46" i="1"/>
  <c r="K22" i="1"/>
  <c r="K18" i="1"/>
  <c r="K279" i="1"/>
  <c r="K267" i="1"/>
  <c r="K246" i="1"/>
  <c r="K207" i="1"/>
  <c r="K193" i="1"/>
  <c r="K114" i="1"/>
  <c r="K107" i="1"/>
  <c r="K102" i="1"/>
  <c r="K41" i="1"/>
  <c r="K26" i="1"/>
  <c r="K12" i="1"/>
  <c r="K231" i="1"/>
  <c r="K217" i="1"/>
  <c r="K124" i="1"/>
  <c r="K31" i="1"/>
  <c r="K19" i="1"/>
  <c r="K317" i="1"/>
  <c r="K172" i="1"/>
  <c r="K166" i="1"/>
  <c r="K45" i="1"/>
  <c r="K24" i="1"/>
  <c r="K138" i="1"/>
  <c r="K119" i="1"/>
  <c r="K118" i="1"/>
  <c r="K247" i="1"/>
  <c r="K183" i="1"/>
  <c r="K164" i="1"/>
  <c r="K157" i="1"/>
  <c r="K155" i="1"/>
  <c r="K67" i="1"/>
  <c r="K21" i="1"/>
  <c r="K313" i="1"/>
  <c r="K197" i="1"/>
  <c r="K159" i="1"/>
  <c r="K165" i="1"/>
  <c r="K150" i="1"/>
  <c r="K297" i="1"/>
  <c r="K252" i="1"/>
  <c r="K148" i="1"/>
  <c r="K30" i="1"/>
  <c r="K28" i="1"/>
  <c r="K5" i="1"/>
  <c r="K298" i="1"/>
  <c r="K43" i="1"/>
  <c r="K260" i="1"/>
  <c r="K40" i="1"/>
  <c r="K34" i="1"/>
  <c r="K200" i="1"/>
  <c r="K156" i="1"/>
  <c r="K126" i="1"/>
  <c r="K25" i="1"/>
  <c r="K106" i="1"/>
  <c r="K2" i="1"/>
  <c r="K245" i="1"/>
  <c r="K205" i="1"/>
  <c r="K117" i="1"/>
  <c r="K48" i="1"/>
  <c r="K42" i="1"/>
  <c r="K9" i="1"/>
  <c r="K223" i="1"/>
  <c r="K319" i="1"/>
  <c r="K273" i="1"/>
  <c r="K7" i="1"/>
  <c r="K14" i="1"/>
  <c r="K99" i="1"/>
  <c r="K38" i="1"/>
  <c r="K214" i="1"/>
  <c r="K49" i="1"/>
  <c r="K130" i="1"/>
  <c r="K62" i="1"/>
  <c r="K235" i="1"/>
  <c r="K182" i="1"/>
  <c r="K243" i="1"/>
  <c r="K168" i="1"/>
  <c r="K253" i="1"/>
  <c r="K160" i="1"/>
  <c r="K198" i="1"/>
  <c r="K65" i="1"/>
  <c r="K8" i="1"/>
  <c r="K208" i="1"/>
  <c r="K202" i="1"/>
  <c r="K3" i="1"/>
  <c r="K133" i="1"/>
  <c r="K196" i="1"/>
  <c r="K33" i="1"/>
  <c r="K147" i="1"/>
  <c r="K73" i="1"/>
  <c r="K275" i="1"/>
  <c r="K238" i="1"/>
  <c r="K16" i="1"/>
  <c r="K257" i="1"/>
  <c r="K143" i="1"/>
  <c r="K27" i="1"/>
  <c r="K20" i="1"/>
  <c r="K4" i="1"/>
  <c r="K181" i="1"/>
  <c r="K309" i="1"/>
  <c r="K108" i="1"/>
  <c r="K44" i="1"/>
  <c r="K320" i="1"/>
  <c r="K178" i="1"/>
  <c r="K79" i="1"/>
  <c r="K255" i="1"/>
  <c r="K233" i="1"/>
  <c r="K287" i="1"/>
  <c r="K239" i="1"/>
  <c r="K85" i="1"/>
  <c r="K310" i="1"/>
  <c r="K234" i="1"/>
  <c r="K201" i="1"/>
  <c r="K228" i="1"/>
  <c r="K167" i="1"/>
  <c r="K136" i="1"/>
  <c r="K13" i="1"/>
  <c r="K11" i="1"/>
  <c r="K35" i="1"/>
  <c r="K57" i="1"/>
  <c r="K268" i="1"/>
  <c r="K32" i="1"/>
  <c r="K229" i="1"/>
  <c r="K140" i="1"/>
  <c r="K212" i="1"/>
  <c r="K152" i="1"/>
  <c r="K51" i="1"/>
  <c r="K92" i="1"/>
  <c r="K306" i="1"/>
  <c r="K210" i="1"/>
  <c r="K274" i="1"/>
  <c r="K161" i="1"/>
  <c r="K269" i="1"/>
  <c r="K303" i="1"/>
  <c r="K144" i="1"/>
  <c r="K278" i="1"/>
  <c r="K103" i="1"/>
  <c r="K216" i="1"/>
  <c r="K295" i="1"/>
  <c r="K17" i="1"/>
  <c r="K135" i="1"/>
  <c r="K80" i="1"/>
  <c r="K128" i="1"/>
  <c r="K176" i="1"/>
  <c r="K87" i="1"/>
  <c r="K10" i="1"/>
  <c r="K91" i="1"/>
  <c r="K134" i="1"/>
  <c r="K325" i="1"/>
  <c r="K262" i="1"/>
  <c r="K220" i="1"/>
  <c r="K137" i="1"/>
  <c r="K145" i="1"/>
  <c r="K314" i="1"/>
  <c r="K146" i="1"/>
  <c r="K142" i="1"/>
  <c r="K291" i="1"/>
  <c r="K141" i="1"/>
  <c r="K29" i="1"/>
  <c r="K23" i="1"/>
  <c r="K226" i="1"/>
  <c r="K264" i="1"/>
  <c r="K318" i="1"/>
  <c r="K284" i="1"/>
  <c r="K174" i="1"/>
  <c r="K187" i="1"/>
  <c r="K36" i="1"/>
  <c r="K281" i="1"/>
  <c r="K242" i="1"/>
  <c r="K37" i="1"/>
  <c r="K15" i="1"/>
  <c r="K109" i="1"/>
  <c r="K121" i="1"/>
  <c r="K324" i="1"/>
  <c r="K112" i="1"/>
  <c r="K300" i="1"/>
  <c r="K131" i="1"/>
  <c r="K258" i="1"/>
  <c r="K88" i="1"/>
  <c r="K263" i="1"/>
  <c r="K82" i="1"/>
  <c r="K70" i="1"/>
  <c r="K76" i="1"/>
  <c r="K50" i="1"/>
  <c r="K71" i="1"/>
  <c r="K78" i="1"/>
  <c r="K72" i="1"/>
  <c r="K139" i="1"/>
  <c r="K105" i="1"/>
  <c r="K122" i="1"/>
  <c r="K97" i="1"/>
  <c r="K283" i="1"/>
  <c r="K83" i="1"/>
  <c r="K89" i="1"/>
  <c r="K288" i="1"/>
  <c r="K94" i="1"/>
  <c r="K74" i="1"/>
  <c r="K81" i="1"/>
  <c r="K110" i="1"/>
  <c r="K120" i="1"/>
  <c r="K129" i="1"/>
  <c r="K219" i="1"/>
  <c r="K294" i="1"/>
  <c r="K180" i="1"/>
  <c r="K321" i="1"/>
  <c r="K266" i="1"/>
  <c r="K116" i="1"/>
  <c r="K77" i="1"/>
  <c r="K289" i="1"/>
  <c r="K277" i="1"/>
  <c r="K195" i="1"/>
  <c r="K251" i="1"/>
  <c r="K186" i="1"/>
  <c r="K194" i="1"/>
  <c r="K204" i="1"/>
  <c r="K307" i="1"/>
  <c r="K191" i="1"/>
  <c r="K225" i="1"/>
  <c r="K280" i="1"/>
  <c r="K203" i="1"/>
  <c r="K301" i="1"/>
  <c r="K272" i="1"/>
  <c r="K173" i="1"/>
  <c r="K254" i="1"/>
  <c r="K265" i="1"/>
  <c r="K299" i="1"/>
  <c r="K240" i="1"/>
  <c r="K276" i="1"/>
  <c r="K293" i="1"/>
  <c r="K222" i="1"/>
  <c r="K244" i="1"/>
  <c r="K192" i="1"/>
  <c r="K290" i="1"/>
  <c r="K286" i="1"/>
  <c r="K175" i="1"/>
  <c r="K311" i="1"/>
  <c r="K227" i="1"/>
  <c r="K215" i="1"/>
  <c r="K179" i="1"/>
  <c r="K153" i="1"/>
  <c r="K218" i="1"/>
  <c r="K256" i="1"/>
  <c r="K304" i="1"/>
  <c r="K199" i="1"/>
  <c r="K209" i="1"/>
  <c r="K188" i="1"/>
  <c r="K282" i="1"/>
  <c r="K308" i="1"/>
  <c r="K292" i="1"/>
  <c r="K323" i="1"/>
  <c r="K271" i="1"/>
  <c r="K75" i="1"/>
  <c r="K86" i="1"/>
  <c r="K189" i="1"/>
  <c r="K95" i="1"/>
  <c r="K84" i="1"/>
  <c r="K98" i="1"/>
  <c r="K90" i="1"/>
  <c r="K96" i="1"/>
  <c r="K93" i="1"/>
  <c r="K104" i="1"/>
  <c r="K125" i="1"/>
  <c r="K101" i="1"/>
</calcChain>
</file>

<file path=xl/sharedStrings.xml><?xml version="1.0" encoding="utf-8"?>
<sst xmlns="http://schemas.openxmlformats.org/spreadsheetml/2006/main" count="1389" uniqueCount="544">
  <si>
    <t>mtags</t>
  </si>
  <si>
    <t>main_group</t>
  </si>
  <si>
    <t>total_group</t>
  </si>
  <si>
    <t>purity(%)</t>
  </si>
  <si>
    <t>main_specie</t>
  </si>
  <si>
    <t>main_OTU_mtags</t>
  </si>
  <si>
    <t>other_groups</t>
  </si>
  <si>
    <t>AH6138</t>
  </si>
  <si>
    <t>MALV-II</t>
  </si>
  <si>
    <t>MPN3727</t>
  </si>
  <si>
    <t>AH6134</t>
  </si>
  <si>
    <t>MAST-8</t>
  </si>
  <si>
    <t>MPN352</t>
  </si>
  <si>
    <t>AH6135</t>
  </si>
  <si>
    <t>AH6136</t>
  </si>
  <si>
    <t>MALV-I</t>
  </si>
  <si>
    <t>MPN6</t>
  </si>
  <si>
    <t>AH6137</t>
  </si>
  <si>
    <t>NA</t>
  </si>
  <si>
    <t>AH6144</t>
  </si>
  <si>
    <t>MAST-3</t>
  </si>
  <si>
    <t>MPN187</t>
  </si>
  <si>
    <t>AH2993</t>
  </si>
  <si>
    <t>MPN461</t>
  </si>
  <si>
    <t>AH6139</t>
  </si>
  <si>
    <t>MPN23</t>
  </si>
  <si>
    <t>AH6140</t>
  </si>
  <si>
    <t>KF130593</t>
  </si>
  <si>
    <t>AH6141</t>
  </si>
  <si>
    <t>MPN3040</t>
  </si>
  <si>
    <t>AH2991</t>
  </si>
  <si>
    <t>KJ764112</t>
  </si>
  <si>
    <t>AH2992</t>
  </si>
  <si>
    <t>AH6146</t>
  </si>
  <si>
    <t>MPN1573</t>
  </si>
  <si>
    <t>AH6147</t>
  </si>
  <si>
    <t>AH6149</t>
  </si>
  <si>
    <t>MAST-4</t>
  </si>
  <si>
    <t>MPN35</t>
  </si>
  <si>
    <t>AH2994</t>
  </si>
  <si>
    <t>AH3000</t>
  </si>
  <si>
    <t>MPN10165</t>
  </si>
  <si>
    <t>AH2996</t>
  </si>
  <si>
    <t>Choanoflagellata</t>
  </si>
  <si>
    <t>MPN491</t>
  </si>
  <si>
    <t>AH6153</t>
  </si>
  <si>
    <t>AH2997</t>
  </si>
  <si>
    <t>Labyrinthulomycetes</t>
  </si>
  <si>
    <t>MPN569</t>
  </si>
  <si>
    <t>AH2998</t>
  </si>
  <si>
    <t>AH2999</t>
  </si>
  <si>
    <t>Chlorarachnea</t>
  </si>
  <si>
    <t>MPN6409</t>
  </si>
  <si>
    <t>AP7860</t>
  </si>
  <si>
    <t>AP7859</t>
  </si>
  <si>
    <t>AP7861</t>
  </si>
  <si>
    <t>AP7862</t>
  </si>
  <si>
    <t>AH6165</t>
  </si>
  <si>
    <t>MAST-1</t>
  </si>
  <si>
    <t>MPN48</t>
  </si>
  <si>
    <t>AH6166</t>
  </si>
  <si>
    <t>AH6158</t>
  </si>
  <si>
    <t>MPN7885</t>
  </si>
  <si>
    <t>AH6159</t>
  </si>
  <si>
    <t>MPN1029</t>
  </si>
  <si>
    <t>AH6160</t>
  </si>
  <si>
    <t>AH6161</t>
  </si>
  <si>
    <t>AH6163</t>
  </si>
  <si>
    <t>Dictyochophyceae</t>
  </si>
  <si>
    <t>MPN64</t>
  </si>
  <si>
    <t>AH6174</t>
  </si>
  <si>
    <t>AH6175</t>
  </si>
  <si>
    <t>MPN175</t>
  </si>
  <si>
    <t>AH6167</t>
  </si>
  <si>
    <t>MPN177</t>
  </si>
  <si>
    <t>AH3001</t>
  </si>
  <si>
    <t>MPN34</t>
  </si>
  <si>
    <t>AH6169</t>
  </si>
  <si>
    <t>AH6170</t>
  </si>
  <si>
    <t>AH3002</t>
  </si>
  <si>
    <t>MPN434</t>
  </si>
  <si>
    <t>AH6172</t>
  </si>
  <si>
    <t>AH6173</t>
  </si>
  <si>
    <t>Picozoa</t>
  </si>
  <si>
    <t>MPN38</t>
  </si>
  <si>
    <t>AH6178</t>
  </si>
  <si>
    <t>Chrysophyceae</t>
  </si>
  <si>
    <t>MPN1475</t>
  </si>
  <si>
    <t>AH6179</t>
  </si>
  <si>
    <t>Telonemia</t>
  </si>
  <si>
    <t>MPN2585</t>
  </si>
  <si>
    <t>AH6181</t>
  </si>
  <si>
    <t>MPN108</t>
  </si>
  <si>
    <t>AP7863</t>
  </si>
  <si>
    <t>AP7864</t>
  </si>
  <si>
    <t>AP7865</t>
  </si>
  <si>
    <t>AH6115</t>
  </si>
  <si>
    <t>MPN181</t>
  </si>
  <si>
    <t>MALV-II(1)</t>
  </si>
  <si>
    <t>AH6110</t>
  </si>
  <si>
    <t>Mamiellophyceae</t>
  </si>
  <si>
    <t>MPN240</t>
  </si>
  <si>
    <t>AH6111</t>
  </si>
  <si>
    <t>AH6112</t>
  </si>
  <si>
    <t>AH6113</t>
  </si>
  <si>
    <t>AH6122</t>
  </si>
  <si>
    <t>AH2984</t>
  </si>
  <si>
    <t>AH2980</t>
  </si>
  <si>
    <t>MPN107</t>
  </si>
  <si>
    <t>AH2981</t>
  </si>
  <si>
    <t>AH6119</t>
  </si>
  <si>
    <t>MPN211</t>
  </si>
  <si>
    <t>AH2988</t>
  </si>
  <si>
    <t>AH6130</t>
  </si>
  <si>
    <t>AH2985</t>
  </si>
  <si>
    <t>AH6125</t>
  </si>
  <si>
    <t>AH6126</t>
  </si>
  <si>
    <t>AH6127</t>
  </si>
  <si>
    <t>Prymnesiophyceae</t>
  </si>
  <si>
    <t>BMK6233</t>
  </si>
  <si>
    <t>AH2987</t>
  </si>
  <si>
    <t>AH6131</t>
  </si>
  <si>
    <t>MPN106</t>
  </si>
  <si>
    <t>AH2989</t>
  </si>
  <si>
    <t>AH2990</t>
  </si>
  <si>
    <t>GC1003827_B05</t>
  </si>
  <si>
    <t>Kinetoplastea</t>
  </si>
  <si>
    <t>GU820754</t>
  </si>
  <si>
    <t>Metazoa(1)</t>
  </si>
  <si>
    <t>GC1003827_C11</t>
  </si>
  <si>
    <t>MAST-7</t>
  </si>
  <si>
    <t>MPN455</t>
  </si>
  <si>
    <t>InSedStramenopiles(7)</t>
  </si>
  <si>
    <t>GC1003827_D03</t>
  </si>
  <si>
    <t>InSedStramenopiles(4),MAST-3(1)</t>
  </si>
  <si>
    <t>GC1003827_D04</t>
  </si>
  <si>
    <t>Cercozoa</t>
  </si>
  <si>
    <t>AY885050</t>
  </si>
  <si>
    <t>GC1003827_D12</t>
  </si>
  <si>
    <t>MPN512</t>
  </si>
  <si>
    <t>Developea(39),Developea(11),Cercozoa(1),InSedStramenopiles(1),MarineOpisthokonts(1)</t>
  </si>
  <si>
    <t>GC1003827_E10</t>
  </si>
  <si>
    <t>MPN129</t>
  </si>
  <si>
    <t>Chlorarachnea(1)</t>
  </si>
  <si>
    <t>GC1003827_E11</t>
  </si>
  <si>
    <t>InSedOpisthokonta</t>
  </si>
  <si>
    <t>BMK16142</t>
  </si>
  <si>
    <t>Mantamonas(23),Ichthyosporea(9),Choanoflagellata(1)</t>
  </si>
  <si>
    <t>GC1003827_E12</t>
  </si>
  <si>
    <t>MAST-9</t>
  </si>
  <si>
    <t>MPN414</t>
  </si>
  <si>
    <t>Choanoflagellata(1)</t>
  </si>
  <si>
    <t>GC1003827_F05</t>
  </si>
  <si>
    <t>MPN1618</t>
  </si>
  <si>
    <t>InSedStramenopiles(42),InSedStramenopiles(4),InSedStramenopiles(3),MAST-9(2)</t>
  </si>
  <si>
    <t>GC1003827_F08</t>
  </si>
  <si>
    <t>MPN608</t>
  </si>
  <si>
    <t>GC1003827_F11</t>
  </si>
  <si>
    <t>GC1003827_G01</t>
  </si>
  <si>
    <t>BMK2086</t>
  </si>
  <si>
    <t>Developea(32),Developea(14),InSedStramenopiles(2),Chlorodendrophyceae(1)</t>
  </si>
  <si>
    <t>GC1003827_G04</t>
  </si>
  <si>
    <t>MPN1220</t>
  </si>
  <si>
    <t>GC1003828_A01</t>
  </si>
  <si>
    <t>Bolidophyceae</t>
  </si>
  <si>
    <t>MPN723</t>
  </si>
  <si>
    <t>Diatomea(3),Kinetoplastea(1),Metazoa(1)</t>
  </si>
  <si>
    <t>GC1003828_A02</t>
  </si>
  <si>
    <t>FJ537319</t>
  </si>
  <si>
    <t>Basidiomycota(1)</t>
  </si>
  <si>
    <t>GC1003828_A07</t>
  </si>
  <si>
    <t>MPN1342</t>
  </si>
  <si>
    <t>GC1003828_A08</t>
  </si>
  <si>
    <t>Chlorodendrophyceae</t>
  </si>
  <si>
    <t>AB971070</t>
  </si>
  <si>
    <t>GC1003828_A09</t>
  </si>
  <si>
    <t>Diatomea</t>
  </si>
  <si>
    <t>BMK5866</t>
  </si>
  <si>
    <t>GC1003828_B05</t>
  </si>
  <si>
    <t>MPN3473</t>
  </si>
  <si>
    <t>Streptophyta(1)</t>
  </si>
  <si>
    <t>GC1003828_B06</t>
  </si>
  <si>
    <t>MPN5601</t>
  </si>
  <si>
    <t>Diatomea(1),Basidiomycota(1)</t>
  </si>
  <si>
    <t>GC1003828_B07</t>
  </si>
  <si>
    <t>GC1003828_B10</t>
  </si>
  <si>
    <t>GC1003837_A04</t>
  </si>
  <si>
    <t>MPN5227</t>
  </si>
  <si>
    <t>GC1003837_A07</t>
  </si>
  <si>
    <t>Ascomycota(1)</t>
  </si>
  <si>
    <t>GC1003837_B04</t>
  </si>
  <si>
    <t>Developea(53),Developea(28),InSedEukaryota(6),Choanoflagellata(1),MAST-12(1)</t>
  </si>
  <si>
    <t>GC1003837_B07</t>
  </si>
  <si>
    <t>BMK2668</t>
  </si>
  <si>
    <t>Basidiomycota(1),Ascomycota(1),Ascomycota(1)</t>
  </si>
  <si>
    <t>GC1003837_C01</t>
  </si>
  <si>
    <t>Ciliophora</t>
  </si>
  <si>
    <t>MPN1255</t>
  </si>
  <si>
    <t>Ascomycota(2),Ascomycota(1)</t>
  </si>
  <si>
    <t>GC1003837_C03</t>
  </si>
  <si>
    <t>InSedStramenopiles(11),Metazoa(5),Basidiomycota(2)</t>
  </si>
  <si>
    <t>GC1003837_C04</t>
  </si>
  <si>
    <t>EF172966</t>
  </si>
  <si>
    <t>GC1003838_B04</t>
  </si>
  <si>
    <t>P1_05</t>
  </si>
  <si>
    <t>MPN3649</t>
  </si>
  <si>
    <t>P1_11</t>
  </si>
  <si>
    <t>Aphelidiomycota(1)</t>
  </si>
  <si>
    <t>P1_14</t>
  </si>
  <si>
    <t>MPN526</t>
  </si>
  <si>
    <t>P1_17</t>
  </si>
  <si>
    <t>MPN493</t>
  </si>
  <si>
    <t>P1_18</t>
  </si>
  <si>
    <t>P1_19</t>
  </si>
  <si>
    <t>InSedStramenopiles(14),Chrysophyceae(1)</t>
  </si>
  <si>
    <t>P1_27</t>
  </si>
  <si>
    <t>P1_29</t>
  </si>
  <si>
    <t>P1_33</t>
  </si>
  <si>
    <t>P1_35</t>
  </si>
  <si>
    <t>BLN31467</t>
  </si>
  <si>
    <t>P1_38</t>
  </si>
  <si>
    <t>MPN669</t>
  </si>
  <si>
    <t>Developea(23),Developea(1),Bicosoecida(2)</t>
  </si>
  <si>
    <t>P1_39</t>
  </si>
  <si>
    <t>P1_43</t>
  </si>
  <si>
    <t>P1_46</t>
  </si>
  <si>
    <t>P1_47</t>
  </si>
  <si>
    <t>P1_49</t>
  </si>
  <si>
    <t>P1_53</t>
  </si>
  <si>
    <t>Chrysomerophyceae(3),Bolidophyceae(1),MOCH-2(1)</t>
  </si>
  <si>
    <t>P1_58</t>
  </si>
  <si>
    <t>P1_60</t>
  </si>
  <si>
    <t>MPN1425</t>
  </si>
  <si>
    <t>P1_64</t>
  </si>
  <si>
    <t>P1_65</t>
  </si>
  <si>
    <t>MPN139</t>
  </si>
  <si>
    <t>Developea(2)</t>
  </si>
  <si>
    <t>P1_83</t>
  </si>
  <si>
    <t>P1_84</t>
  </si>
  <si>
    <t>MPN440</t>
  </si>
  <si>
    <t>InSedStramenopiles(13),InSedStramenopiles(5),Developea(2)</t>
  </si>
  <si>
    <t>P1_88</t>
  </si>
  <si>
    <t>P1_90</t>
  </si>
  <si>
    <t>P1_91</t>
  </si>
  <si>
    <t>P1_92</t>
  </si>
  <si>
    <t>P1_93</t>
  </si>
  <si>
    <t>P2_01</t>
  </si>
  <si>
    <t>P2_04</t>
  </si>
  <si>
    <t>Developea(10),Developea(3)</t>
  </si>
  <si>
    <t>P2_05</t>
  </si>
  <si>
    <t>P2_06</t>
  </si>
  <si>
    <t>P2_10</t>
  </si>
  <si>
    <t>P2_14</t>
  </si>
  <si>
    <t>P2_15</t>
  </si>
  <si>
    <t>P2_18</t>
  </si>
  <si>
    <t>P2_29</t>
  </si>
  <si>
    <t>P2_31</t>
  </si>
  <si>
    <t>P2_33</t>
  </si>
  <si>
    <t>P2_35</t>
  </si>
  <si>
    <t>InSedStramenopiles(28)</t>
  </si>
  <si>
    <t>P2_36</t>
  </si>
  <si>
    <t>P2_37</t>
  </si>
  <si>
    <t>P2_39</t>
  </si>
  <si>
    <t>P2_40</t>
  </si>
  <si>
    <t>P2_45</t>
  </si>
  <si>
    <t>P2_48</t>
  </si>
  <si>
    <t>P2_51</t>
  </si>
  <si>
    <t>P2_58</t>
  </si>
  <si>
    <t>MPN445</t>
  </si>
  <si>
    <t>P2_59</t>
  </si>
  <si>
    <t>MPN7629</t>
  </si>
  <si>
    <t>P2_64</t>
  </si>
  <si>
    <t>P2_65</t>
  </si>
  <si>
    <t>P2_69</t>
  </si>
  <si>
    <t>P2_71</t>
  </si>
  <si>
    <t>P2_72</t>
  </si>
  <si>
    <t>Chlorophyceae(2)</t>
  </si>
  <si>
    <t>P2_78</t>
  </si>
  <si>
    <t>P2_79</t>
  </si>
  <si>
    <t>EF100246</t>
  </si>
  <si>
    <t>P2_80</t>
  </si>
  <si>
    <t>P2_81</t>
  </si>
  <si>
    <t>P2_82</t>
  </si>
  <si>
    <t>Streptophyta</t>
  </si>
  <si>
    <t>AB072558</t>
  </si>
  <si>
    <t>P2_84</t>
  </si>
  <si>
    <t>P2_85</t>
  </si>
  <si>
    <t>P2_86</t>
  </si>
  <si>
    <t>P2_89</t>
  </si>
  <si>
    <t>P2_92</t>
  </si>
  <si>
    <t>P2_94</t>
  </si>
  <si>
    <t>P3_02</t>
  </si>
  <si>
    <t>P3_03</t>
  </si>
  <si>
    <t>P3_04</t>
  </si>
  <si>
    <t>P3_08</t>
  </si>
  <si>
    <t>P3_10</t>
  </si>
  <si>
    <t>Basidiomycota</t>
  </si>
  <si>
    <t>AB451532</t>
  </si>
  <si>
    <t>P3_11</t>
  </si>
  <si>
    <t>P3_13</t>
  </si>
  <si>
    <t>P3_14</t>
  </si>
  <si>
    <t>P3_15</t>
  </si>
  <si>
    <t>Chlorophyceae(41),Chlorophyceae(2)</t>
  </si>
  <si>
    <t>P3_17</t>
  </si>
  <si>
    <t>AF107082</t>
  </si>
  <si>
    <t>P3_18</t>
  </si>
  <si>
    <t>AB017128</t>
  </si>
  <si>
    <t>Chlorophyceae(21),Chlorophyceae(1)</t>
  </si>
  <si>
    <t>P3_20</t>
  </si>
  <si>
    <t>MPN3802</t>
  </si>
  <si>
    <t>P3_21</t>
  </si>
  <si>
    <t>P3_22</t>
  </si>
  <si>
    <t>P3_23</t>
  </si>
  <si>
    <t>P3_24</t>
  </si>
  <si>
    <t>Pinguiophyceae</t>
  </si>
  <si>
    <t>BMK857</t>
  </si>
  <si>
    <t>Chrysophyceae(24),MOCH-3(2),InSedStramenopiles(1)</t>
  </si>
  <si>
    <t>P3_25</t>
  </si>
  <si>
    <t>BMK7319</t>
  </si>
  <si>
    <t>P3_27</t>
  </si>
  <si>
    <t>P3_28</t>
  </si>
  <si>
    <t>AACY020215901</t>
  </si>
  <si>
    <t>P3_29</t>
  </si>
  <si>
    <t>P3_30</t>
  </si>
  <si>
    <t>P3_31</t>
  </si>
  <si>
    <t>Chlorophyceae(6),Streptophyta(3)</t>
  </si>
  <si>
    <t>P3_33</t>
  </si>
  <si>
    <t>MPN5928</t>
  </si>
  <si>
    <t>P3_34</t>
  </si>
  <si>
    <t>Chlorophyceae(12)</t>
  </si>
  <si>
    <t>P3_35</t>
  </si>
  <si>
    <t>BMK6114</t>
  </si>
  <si>
    <t>Bolidophyceae(1)</t>
  </si>
  <si>
    <t>P3_36</t>
  </si>
  <si>
    <t>P3_37</t>
  </si>
  <si>
    <t>Chlorophyceae(51),Pyramimonadales(1)</t>
  </si>
  <si>
    <t>P3_38</t>
  </si>
  <si>
    <t>Chlorophyceae(27)</t>
  </si>
  <si>
    <t>P3_39</t>
  </si>
  <si>
    <t>MPN5755</t>
  </si>
  <si>
    <t>P3_40</t>
  </si>
  <si>
    <t>Chlorophyceae(6)</t>
  </si>
  <si>
    <t>P3_41</t>
  </si>
  <si>
    <t>Chlorophyceae(8)</t>
  </si>
  <si>
    <t>P3_42</t>
  </si>
  <si>
    <t>P3_44</t>
  </si>
  <si>
    <t>AB183608</t>
  </si>
  <si>
    <t>P3_45</t>
  </si>
  <si>
    <t>P3_46</t>
  </si>
  <si>
    <t>Chlorophyceae(13)</t>
  </si>
  <si>
    <t>P3_48</t>
  </si>
  <si>
    <t>KJ763740</t>
  </si>
  <si>
    <t>P3_49</t>
  </si>
  <si>
    <t>MPN2186</t>
  </si>
  <si>
    <t>P3_50</t>
  </si>
  <si>
    <t>BMK13122</t>
  </si>
  <si>
    <t>P3_51</t>
  </si>
  <si>
    <t>Chlorophyceae(48)</t>
  </si>
  <si>
    <t>P3_52</t>
  </si>
  <si>
    <t>P3_53</t>
  </si>
  <si>
    <t>P3_54</t>
  </si>
  <si>
    <t>P3_55</t>
  </si>
  <si>
    <t>P3_56</t>
  </si>
  <si>
    <t>P3_57</t>
  </si>
  <si>
    <t>P3_58</t>
  </si>
  <si>
    <t>AB199882</t>
  </si>
  <si>
    <t>P3_59</t>
  </si>
  <si>
    <t>P3_60</t>
  </si>
  <si>
    <t>MPN4459</t>
  </si>
  <si>
    <t>P3_61</t>
  </si>
  <si>
    <t>P3_62</t>
  </si>
  <si>
    <t>MPN4411</t>
  </si>
  <si>
    <t>P3_63</t>
  </si>
  <si>
    <t>P3_64</t>
  </si>
  <si>
    <t>BLN29425</t>
  </si>
  <si>
    <t>P3_65</t>
  </si>
  <si>
    <t>P3_66</t>
  </si>
  <si>
    <t>Chlorophyceae(17)</t>
  </si>
  <si>
    <t>P3_68</t>
  </si>
  <si>
    <t>MOCH-2</t>
  </si>
  <si>
    <t>MPN171</t>
  </si>
  <si>
    <t>Chrysophyceae(7)</t>
  </si>
  <si>
    <t>P3_69</t>
  </si>
  <si>
    <t>P3_70</t>
  </si>
  <si>
    <t>P3_71</t>
  </si>
  <si>
    <t>Chlorophyceae(33)</t>
  </si>
  <si>
    <t>P3_72</t>
  </si>
  <si>
    <t>P3_73</t>
  </si>
  <si>
    <t>P3_75</t>
  </si>
  <si>
    <t>MPN55</t>
  </si>
  <si>
    <t>Chlorophyceae(51),Chlorophyceae(2)</t>
  </si>
  <si>
    <t>P3_79</t>
  </si>
  <si>
    <t>MPN6070</t>
  </si>
  <si>
    <t>P3_81</t>
  </si>
  <si>
    <t>P3_82</t>
  </si>
  <si>
    <t>P3_83</t>
  </si>
  <si>
    <t>P3_84</t>
  </si>
  <si>
    <t>P3_85</t>
  </si>
  <si>
    <t>P3_86</t>
  </si>
  <si>
    <t>P3_87</t>
  </si>
  <si>
    <t>P3_88</t>
  </si>
  <si>
    <t>P3_89</t>
  </si>
  <si>
    <t>P3_90</t>
  </si>
  <si>
    <t>FR677016</t>
  </si>
  <si>
    <t>P3_91</t>
  </si>
  <si>
    <t>P3_92</t>
  </si>
  <si>
    <t>P3_93</t>
  </si>
  <si>
    <t>MPN2588</t>
  </si>
  <si>
    <t>P3_94</t>
  </si>
  <si>
    <t>Chlorophyceae(4)</t>
  </si>
  <si>
    <t>P3_95</t>
  </si>
  <si>
    <t>P3_96</t>
  </si>
  <si>
    <t>P4_01</t>
  </si>
  <si>
    <t>P4_02</t>
  </si>
  <si>
    <t>Chlorophyceae(3)</t>
  </si>
  <si>
    <t>P4_03</t>
  </si>
  <si>
    <t>MAST-12</t>
  </si>
  <si>
    <t>BMK674</t>
  </si>
  <si>
    <t>P4_04</t>
  </si>
  <si>
    <t>Dinoflagellata</t>
  </si>
  <si>
    <t>MPN7392</t>
  </si>
  <si>
    <t>P4_05</t>
  </si>
  <si>
    <t>P4_06</t>
  </si>
  <si>
    <t>P4_07</t>
  </si>
  <si>
    <t>P4_08</t>
  </si>
  <si>
    <t>P4_09</t>
  </si>
  <si>
    <t>Chlorophyceae(77),Chlorophyceae(4),Chlorophyceae(1)</t>
  </si>
  <si>
    <t>P4_10</t>
  </si>
  <si>
    <t>P4_11</t>
  </si>
  <si>
    <t>P4_13</t>
  </si>
  <si>
    <t>P4_14</t>
  </si>
  <si>
    <t>AB601108</t>
  </si>
  <si>
    <t>P4_15</t>
  </si>
  <si>
    <t>Chlorophyceae(164),Chlorophyceae(4),Chlorophyceae(2)</t>
  </si>
  <si>
    <t>P4_16</t>
  </si>
  <si>
    <t>MPN2845</t>
  </si>
  <si>
    <t>P4_17</t>
  </si>
  <si>
    <t>P4_18</t>
  </si>
  <si>
    <t>P4_19</t>
  </si>
  <si>
    <t>MPN1720</t>
  </si>
  <si>
    <t>P4_20</t>
  </si>
  <si>
    <t>P4_21</t>
  </si>
  <si>
    <t>P4_22</t>
  </si>
  <si>
    <t>MPN290</t>
  </si>
  <si>
    <t>MOCH-3(4)</t>
  </si>
  <si>
    <t>P4_23</t>
  </si>
  <si>
    <t>P4_24</t>
  </si>
  <si>
    <t>P4_25</t>
  </si>
  <si>
    <t>Chrysomerophyceae(6),Bicosoecida(3),Bolidophyceae(2),Bolidophyceae(1)</t>
  </si>
  <si>
    <t>P4_26</t>
  </si>
  <si>
    <t>MPN854</t>
  </si>
  <si>
    <t>P4_27</t>
  </si>
  <si>
    <t>P4_28</t>
  </si>
  <si>
    <t>MPN1637</t>
  </si>
  <si>
    <t>P4_29</t>
  </si>
  <si>
    <t>P4_30</t>
  </si>
  <si>
    <t>Chlorophyceae(1)</t>
  </si>
  <si>
    <t>P4_31</t>
  </si>
  <si>
    <t>Chlorophyceae(43),Chlorophyceae(2),Discosea(1)</t>
  </si>
  <si>
    <t>P4_32</t>
  </si>
  <si>
    <t>MPN3623</t>
  </si>
  <si>
    <t>P4_33</t>
  </si>
  <si>
    <t>P4_34</t>
  </si>
  <si>
    <t>P4_35</t>
  </si>
  <si>
    <t>Chlorophyceae(36)</t>
  </si>
  <si>
    <t>P4_36</t>
  </si>
  <si>
    <t>MPN4113</t>
  </si>
  <si>
    <t>P4_37</t>
  </si>
  <si>
    <t>BMK14018</t>
  </si>
  <si>
    <t>P4_38</t>
  </si>
  <si>
    <t>P4_39</t>
  </si>
  <si>
    <t>Chlorophyceae(5)</t>
  </si>
  <si>
    <t>P4_40</t>
  </si>
  <si>
    <t>P4_41</t>
  </si>
  <si>
    <t>BLN6759</t>
  </si>
  <si>
    <t>Chlorophyceae(10),Pyramimonadales(1)</t>
  </si>
  <si>
    <t>P4_42</t>
  </si>
  <si>
    <t>Diatomea(4),Diatomea(2)</t>
  </si>
  <si>
    <t>P4_43</t>
  </si>
  <si>
    <t>P4_44</t>
  </si>
  <si>
    <t>P4_45</t>
  </si>
  <si>
    <t>Chlorophyceae(23)</t>
  </si>
  <si>
    <t>P4_46</t>
  </si>
  <si>
    <t>MPN114</t>
  </si>
  <si>
    <t>P4_47</t>
  </si>
  <si>
    <t>Diatomea(1)</t>
  </si>
  <si>
    <t>P4_48</t>
  </si>
  <si>
    <t>Chlorophyceae(9)</t>
  </si>
  <si>
    <t>P4_49</t>
  </si>
  <si>
    <t>Chlorophyceae(24),Chlorophyceae(1),Metazoa(1)</t>
  </si>
  <si>
    <t>P4_50</t>
  </si>
  <si>
    <t>P4_51</t>
  </si>
  <si>
    <t>P4_53</t>
  </si>
  <si>
    <t>P4_54</t>
  </si>
  <si>
    <t>Chrysophyceae(4),Bolidophyceae(1)</t>
  </si>
  <si>
    <t>P4_55</t>
  </si>
  <si>
    <t>P4_56</t>
  </si>
  <si>
    <t>P4_57</t>
  </si>
  <si>
    <t>P4_58</t>
  </si>
  <si>
    <t>Centroplasthelida</t>
  </si>
  <si>
    <t>MPN673</t>
  </si>
  <si>
    <t>P4_59</t>
  </si>
  <si>
    <t>P4_61</t>
  </si>
  <si>
    <t>P4_62</t>
  </si>
  <si>
    <t>Chlorophyceae(44),Chlorophyceae(1),Chlorophyceae(1)</t>
  </si>
  <si>
    <t>P4_63</t>
  </si>
  <si>
    <t>P4_64</t>
  </si>
  <si>
    <t>P4_65</t>
  </si>
  <si>
    <t>Chlorophyceae(14)</t>
  </si>
  <si>
    <t>P4_66</t>
  </si>
  <si>
    <t>P4_67</t>
  </si>
  <si>
    <t>P4_68</t>
  </si>
  <si>
    <t>Chlorophyceae(57),Chlorophyceae(4)</t>
  </si>
  <si>
    <t>P4_69</t>
  </si>
  <si>
    <t>Chlorophyceae(10),Discosea(1)</t>
  </si>
  <si>
    <t>P4_70</t>
  </si>
  <si>
    <t>KF129804</t>
  </si>
  <si>
    <t>P4_71</t>
  </si>
  <si>
    <t>P4_72</t>
  </si>
  <si>
    <t>P4_73</t>
  </si>
  <si>
    <t>P4_74</t>
  </si>
  <si>
    <t>P4_75</t>
  </si>
  <si>
    <t>P4_76</t>
  </si>
  <si>
    <t>P4_77</t>
  </si>
  <si>
    <t>P4_78</t>
  </si>
  <si>
    <t>GQ863826</t>
  </si>
  <si>
    <t>P4_79</t>
  </si>
  <si>
    <t>BMK1361</t>
  </si>
  <si>
    <t>P4_80</t>
  </si>
  <si>
    <t>P4_81</t>
  </si>
  <si>
    <t>MPN122</t>
  </si>
  <si>
    <t>P4_82</t>
  </si>
  <si>
    <t>Chrysophyceae(22),Chrysophyceae(5),Bolidophyceae(3),InSedStramenopiles(2),Chrysomerophyceae(1)</t>
  </si>
  <si>
    <t>P4_83</t>
  </si>
  <si>
    <t>P4_84</t>
  </si>
  <si>
    <t>P4_85</t>
  </si>
  <si>
    <t>P4_86</t>
  </si>
  <si>
    <t>MPN753</t>
  </si>
  <si>
    <t>P4_87</t>
  </si>
  <si>
    <t>-</t>
  </si>
  <si>
    <t>total_group_relaxed</t>
  </si>
  <si>
    <t>SAG</t>
  </si>
  <si>
    <t xml:space="preserve"> </t>
  </si>
  <si>
    <t>purity_relaxed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</si>
</sst>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5CF05-742F-754B-96D7-B1BAFB599E83}">
  <dimension ref="A1:O326"/>
  <sheetViews>
    <sheetView tabSelected="1" workbookViewId="0">
      <pane ySplit="7240" topLeftCell="A246"/>
      <selection activeCell="K2" sqref="K2"/>
      <selection pane="bottomLeft" activeCell="N260" sqref="N260"/>
    </sheetView>
  </sheetViews>
  <sheetFormatPr baseColWidth="10" defaultRowHeight="16" x14ac:dyDescent="0.2"/>
  <cols>
    <col min="2" max="2" width="17.1640625" customWidth="1"/>
    <col min="3" max="3" width="10.83203125" style="1"/>
    <col min="4" max="4" width="21.1640625" style="1" customWidth="1"/>
    <col min="5" max="8" width="10.83203125" style="1"/>
    <col min="9" max="9" width="16" style="1" customWidth="1"/>
    <col min="10" max="11" width="10.83203125" style="1"/>
  </cols>
  <sheetData>
    <row r="1" spans="1:15" s="4" customFormat="1" ht="34" x14ac:dyDescent="0.2">
      <c r="B1" s="4" t="s">
        <v>541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6" t="s">
        <v>540</v>
      </c>
      <c r="K1" s="6" t="s">
        <v>543</v>
      </c>
    </row>
    <row r="2" spans="1:15" x14ac:dyDescent="0.2">
      <c r="A2">
        <v>1</v>
      </c>
      <c r="B2" t="s">
        <v>7</v>
      </c>
      <c r="C2" s="1">
        <v>15</v>
      </c>
      <c r="D2" s="1" t="s">
        <v>8</v>
      </c>
      <c r="E2" s="1">
        <v>15</v>
      </c>
      <c r="F2" s="1">
        <v>100</v>
      </c>
      <c r="G2" s="1" t="s">
        <v>9</v>
      </c>
      <c r="H2" s="1">
        <v>9</v>
      </c>
      <c r="J2" s="1">
        <v>15</v>
      </c>
      <c r="K2" s="3">
        <f>100*J2/C2</f>
        <v>100</v>
      </c>
    </row>
    <row r="3" spans="1:15" x14ac:dyDescent="0.2">
      <c r="A3">
        <v>2</v>
      </c>
      <c r="B3" t="s">
        <v>10</v>
      </c>
      <c r="C3" s="1">
        <v>44</v>
      </c>
      <c r="D3" s="1" t="s">
        <v>11</v>
      </c>
      <c r="E3" s="1">
        <v>44</v>
      </c>
      <c r="F3" s="1">
        <v>100</v>
      </c>
      <c r="G3" s="1" t="s">
        <v>12</v>
      </c>
      <c r="H3" s="1">
        <v>32</v>
      </c>
      <c r="J3" s="1">
        <v>44</v>
      </c>
      <c r="K3" s="3">
        <f>100*J3/C3</f>
        <v>100</v>
      </c>
    </row>
    <row r="4" spans="1:15" x14ac:dyDescent="0.2">
      <c r="A4">
        <v>3</v>
      </c>
      <c r="B4" t="s">
        <v>13</v>
      </c>
      <c r="C4" s="1">
        <v>61</v>
      </c>
      <c r="D4" s="1" t="s">
        <v>8</v>
      </c>
      <c r="E4" s="1">
        <v>61</v>
      </c>
      <c r="F4" s="1">
        <v>100</v>
      </c>
      <c r="G4" s="1" t="s">
        <v>9</v>
      </c>
      <c r="H4" s="1">
        <v>25</v>
      </c>
      <c r="J4" s="1">
        <v>61</v>
      </c>
      <c r="K4" s="3">
        <f>100*J4/C4</f>
        <v>100</v>
      </c>
    </row>
    <row r="5" spans="1:15" x14ac:dyDescent="0.2">
      <c r="A5">
        <v>4</v>
      </c>
      <c r="B5" t="s">
        <v>14</v>
      </c>
      <c r="C5" s="1">
        <v>10</v>
      </c>
      <c r="D5" s="1" t="s">
        <v>15</v>
      </c>
      <c r="E5" s="1">
        <v>10</v>
      </c>
      <c r="F5" s="1">
        <v>100</v>
      </c>
      <c r="G5" s="1" t="s">
        <v>16</v>
      </c>
      <c r="H5" s="1">
        <v>8</v>
      </c>
      <c r="J5" s="1">
        <v>10</v>
      </c>
      <c r="K5" s="3">
        <f>100*J5/C5</f>
        <v>100</v>
      </c>
    </row>
    <row r="6" spans="1:15" x14ac:dyDescent="0.2">
      <c r="A6">
        <v>5</v>
      </c>
      <c r="B6" t="s">
        <v>17</v>
      </c>
      <c r="C6" s="1">
        <v>0</v>
      </c>
      <c r="D6" s="1" t="s">
        <v>539</v>
      </c>
      <c r="E6" s="1" t="s">
        <v>539</v>
      </c>
      <c r="F6" s="1" t="s">
        <v>539</v>
      </c>
      <c r="G6" s="1" t="s">
        <v>539</v>
      </c>
      <c r="H6" s="1" t="s">
        <v>539</v>
      </c>
      <c r="I6" s="1" t="s">
        <v>539</v>
      </c>
      <c r="J6" s="1" t="s">
        <v>539</v>
      </c>
      <c r="K6" s="1" t="s">
        <v>539</v>
      </c>
    </row>
    <row r="7" spans="1:15" x14ac:dyDescent="0.2">
      <c r="A7">
        <v>6</v>
      </c>
      <c r="B7" t="s">
        <v>19</v>
      </c>
      <c r="C7" s="1">
        <v>28</v>
      </c>
      <c r="D7" s="1" t="s">
        <v>20</v>
      </c>
      <c r="E7" s="1">
        <v>28</v>
      </c>
      <c r="F7" s="1">
        <v>100</v>
      </c>
      <c r="G7" s="1" t="s">
        <v>21</v>
      </c>
      <c r="H7" s="1">
        <v>28</v>
      </c>
      <c r="J7" s="1">
        <v>28</v>
      </c>
      <c r="K7" s="3">
        <f t="shared" ref="K7:K38" si="0">100*J7/C7</f>
        <v>100</v>
      </c>
    </row>
    <row r="8" spans="1:15" x14ac:dyDescent="0.2">
      <c r="A8">
        <v>7</v>
      </c>
      <c r="B8" t="s">
        <v>22</v>
      </c>
      <c r="C8" s="1">
        <v>43</v>
      </c>
      <c r="D8" s="1" t="s">
        <v>20</v>
      </c>
      <c r="E8" s="1">
        <v>43</v>
      </c>
      <c r="F8" s="1">
        <v>100</v>
      </c>
      <c r="G8" s="1" t="s">
        <v>23</v>
      </c>
      <c r="H8" s="1">
        <v>43</v>
      </c>
      <c r="J8" s="1">
        <v>43</v>
      </c>
      <c r="K8" s="3">
        <f t="shared" si="0"/>
        <v>100</v>
      </c>
    </row>
    <row r="9" spans="1:15" x14ac:dyDescent="0.2">
      <c r="A9">
        <v>8</v>
      </c>
      <c r="B9" t="s">
        <v>24</v>
      </c>
      <c r="C9" s="1">
        <v>22</v>
      </c>
      <c r="D9" s="1" t="s">
        <v>15</v>
      </c>
      <c r="E9" s="1">
        <v>22</v>
      </c>
      <c r="F9" s="1">
        <v>100</v>
      </c>
      <c r="G9" s="1" t="s">
        <v>25</v>
      </c>
      <c r="H9" s="1">
        <v>7</v>
      </c>
      <c r="J9" s="1">
        <v>22</v>
      </c>
      <c r="K9" s="3">
        <f t="shared" si="0"/>
        <v>100</v>
      </c>
    </row>
    <row r="10" spans="1:15" x14ac:dyDescent="0.2">
      <c r="A10">
        <v>9</v>
      </c>
      <c r="B10" t="s">
        <v>26</v>
      </c>
      <c r="C10" s="1">
        <v>335</v>
      </c>
      <c r="D10" s="1" t="s">
        <v>8</v>
      </c>
      <c r="E10" s="1">
        <v>335</v>
      </c>
      <c r="F10" s="1">
        <v>100</v>
      </c>
      <c r="G10" s="1" t="s">
        <v>27</v>
      </c>
      <c r="H10" s="1">
        <v>145</v>
      </c>
      <c r="J10" s="1">
        <v>335</v>
      </c>
      <c r="K10" s="3">
        <f t="shared" si="0"/>
        <v>100</v>
      </c>
    </row>
    <row r="11" spans="1:15" x14ac:dyDescent="0.2">
      <c r="A11">
        <v>10</v>
      </c>
      <c r="B11" t="s">
        <v>28</v>
      </c>
      <c r="C11" s="1">
        <v>118</v>
      </c>
      <c r="D11" s="1" t="s">
        <v>11</v>
      </c>
      <c r="E11" s="1">
        <v>118</v>
      </c>
      <c r="F11" s="1">
        <v>100</v>
      </c>
      <c r="G11" s="1" t="s">
        <v>29</v>
      </c>
      <c r="H11" s="1">
        <v>81</v>
      </c>
      <c r="J11" s="1">
        <v>118</v>
      </c>
      <c r="K11" s="3">
        <f t="shared" si="0"/>
        <v>100</v>
      </c>
      <c r="O11" t="s">
        <v>542</v>
      </c>
    </row>
    <row r="12" spans="1:15" x14ac:dyDescent="0.2">
      <c r="A12">
        <v>11</v>
      </c>
      <c r="B12" t="s">
        <v>30</v>
      </c>
      <c r="C12" s="1">
        <v>2</v>
      </c>
      <c r="D12" s="1" t="s">
        <v>15</v>
      </c>
      <c r="E12" s="1">
        <v>2</v>
      </c>
      <c r="F12" s="1">
        <v>100</v>
      </c>
      <c r="G12" s="1" t="s">
        <v>31</v>
      </c>
      <c r="H12" s="1">
        <v>1</v>
      </c>
      <c r="J12" s="1">
        <v>2</v>
      </c>
      <c r="K12" s="3">
        <f t="shared" si="0"/>
        <v>100</v>
      </c>
    </row>
    <row r="13" spans="1:15" x14ac:dyDescent="0.2">
      <c r="A13">
        <v>12</v>
      </c>
      <c r="B13" t="s">
        <v>32</v>
      </c>
      <c r="C13" s="1">
        <v>116</v>
      </c>
      <c r="D13" s="1" t="s">
        <v>20</v>
      </c>
      <c r="E13" s="1">
        <v>116</v>
      </c>
      <c r="F13" s="1">
        <v>100</v>
      </c>
      <c r="G13" s="1" t="s">
        <v>21</v>
      </c>
      <c r="H13" s="1">
        <v>116</v>
      </c>
      <c r="J13" s="1">
        <v>116</v>
      </c>
      <c r="K13" s="3">
        <f t="shared" si="0"/>
        <v>100</v>
      </c>
    </row>
    <row r="14" spans="1:15" x14ac:dyDescent="0.2">
      <c r="A14">
        <v>13</v>
      </c>
      <c r="B14" t="s">
        <v>33</v>
      </c>
      <c r="C14" s="1">
        <v>29</v>
      </c>
      <c r="D14" s="1" t="s">
        <v>8</v>
      </c>
      <c r="E14" s="1">
        <v>29</v>
      </c>
      <c r="F14" s="1">
        <v>100</v>
      </c>
      <c r="G14" s="1" t="s">
        <v>34</v>
      </c>
      <c r="H14" s="1">
        <v>16</v>
      </c>
      <c r="J14" s="1">
        <v>29</v>
      </c>
      <c r="K14" s="3">
        <f t="shared" si="0"/>
        <v>100</v>
      </c>
    </row>
    <row r="15" spans="1:15" x14ac:dyDescent="0.2">
      <c r="A15">
        <v>14</v>
      </c>
      <c r="B15" t="s">
        <v>35</v>
      </c>
      <c r="C15" s="1">
        <v>885</v>
      </c>
      <c r="D15" s="1" t="s">
        <v>20</v>
      </c>
      <c r="E15" s="1">
        <v>885</v>
      </c>
      <c r="F15" s="1">
        <v>100</v>
      </c>
      <c r="G15" s="1" t="s">
        <v>23</v>
      </c>
      <c r="H15" s="1">
        <v>885</v>
      </c>
      <c r="J15" s="1">
        <v>885</v>
      </c>
      <c r="K15" s="3">
        <f t="shared" si="0"/>
        <v>100</v>
      </c>
    </row>
    <row r="16" spans="1:15" x14ac:dyDescent="0.2">
      <c r="A16">
        <v>15</v>
      </c>
      <c r="B16" t="s">
        <v>36</v>
      </c>
      <c r="C16" s="1">
        <v>57</v>
      </c>
      <c r="D16" s="1" t="s">
        <v>37</v>
      </c>
      <c r="E16" s="1">
        <v>57</v>
      </c>
      <c r="F16" s="1">
        <v>100</v>
      </c>
      <c r="G16" s="1" t="s">
        <v>38</v>
      </c>
      <c r="H16" s="1">
        <v>57</v>
      </c>
      <c r="J16" s="1">
        <v>57</v>
      </c>
      <c r="K16" s="3">
        <f t="shared" si="0"/>
        <v>100</v>
      </c>
    </row>
    <row r="17" spans="1:11" x14ac:dyDescent="0.2">
      <c r="A17">
        <v>16</v>
      </c>
      <c r="B17" t="s">
        <v>39</v>
      </c>
      <c r="C17" s="1">
        <v>255</v>
      </c>
      <c r="D17" s="1" t="s">
        <v>20</v>
      </c>
      <c r="E17" s="1">
        <v>255</v>
      </c>
      <c r="F17" s="1">
        <v>100</v>
      </c>
      <c r="G17" s="1" t="s">
        <v>23</v>
      </c>
      <c r="H17" s="1">
        <v>255</v>
      </c>
      <c r="J17" s="1">
        <v>255</v>
      </c>
      <c r="K17" s="3">
        <f t="shared" si="0"/>
        <v>100</v>
      </c>
    </row>
    <row r="18" spans="1:11" x14ac:dyDescent="0.2">
      <c r="A18">
        <v>17</v>
      </c>
      <c r="B18" t="s">
        <v>40</v>
      </c>
      <c r="C18" s="1">
        <v>1</v>
      </c>
      <c r="D18" s="1" t="s">
        <v>15</v>
      </c>
      <c r="E18" s="1">
        <v>1</v>
      </c>
      <c r="F18" s="1">
        <v>100</v>
      </c>
      <c r="G18" s="1" t="s">
        <v>41</v>
      </c>
      <c r="H18" s="1">
        <v>1</v>
      </c>
      <c r="J18" s="1">
        <v>1</v>
      </c>
      <c r="K18" s="3">
        <f t="shared" si="0"/>
        <v>100</v>
      </c>
    </row>
    <row r="19" spans="1:11" x14ac:dyDescent="0.2">
      <c r="A19">
        <v>18</v>
      </c>
      <c r="B19" t="s">
        <v>42</v>
      </c>
      <c r="C19" s="1">
        <v>3</v>
      </c>
      <c r="D19" s="1" t="s">
        <v>43</v>
      </c>
      <c r="E19" s="1">
        <v>3</v>
      </c>
      <c r="F19" s="1">
        <v>100</v>
      </c>
      <c r="G19" s="1" t="s">
        <v>44</v>
      </c>
      <c r="H19" s="1">
        <v>3</v>
      </c>
      <c r="J19" s="1">
        <v>3</v>
      </c>
      <c r="K19" s="3">
        <f t="shared" si="0"/>
        <v>100</v>
      </c>
    </row>
    <row r="20" spans="1:11" x14ac:dyDescent="0.2">
      <c r="A20">
        <v>19</v>
      </c>
      <c r="B20" t="s">
        <v>45</v>
      </c>
      <c r="C20" s="1">
        <v>61</v>
      </c>
      <c r="D20" s="1" t="s">
        <v>20</v>
      </c>
      <c r="E20" s="1">
        <v>61</v>
      </c>
      <c r="F20" s="1">
        <v>100</v>
      </c>
      <c r="G20" s="1" t="s">
        <v>23</v>
      </c>
      <c r="H20" s="1">
        <v>61</v>
      </c>
      <c r="J20" s="1">
        <v>61</v>
      </c>
      <c r="K20" s="3">
        <f t="shared" si="0"/>
        <v>100</v>
      </c>
    </row>
    <row r="21" spans="1:11" x14ac:dyDescent="0.2">
      <c r="A21">
        <v>20</v>
      </c>
      <c r="B21" t="s">
        <v>46</v>
      </c>
      <c r="C21" s="1">
        <v>6</v>
      </c>
      <c r="D21" s="1" t="s">
        <v>47</v>
      </c>
      <c r="E21" s="1">
        <v>6</v>
      </c>
      <c r="F21" s="1">
        <v>100</v>
      </c>
      <c r="G21" s="1" t="s">
        <v>48</v>
      </c>
      <c r="H21" s="1">
        <v>6</v>
      </c>
      <c r="J21" s="1">
        <v>6</v>
      </c>
      <c r="K21" s="3">
        <f t="shared" si="0"/>
        <v>100</v>
      </c>
    </row>
    <row r="22" spans="1:11" x14ac:dyDescent="0.2">
      <c r="A22">
        <v>21</v>
      </c>
      <c r="B22" t="s">
        <v>49</v>
      </c>
      <c r="C22" s="1">
        <v>1</v>
      </c>
      <c r="D22" s="1" t="s">
        <v>37</v>
      </c>
      <c r="E22" s="1">
        <v>1</v>
      </c>
      <c r="F22" s="1">
        <v>100</v>
      </c>
      <c r="G22" s="1" t="s">
        <v>38</v>
      </c>
      <c r="H22" s="1">
        <v>1</v>
      </c>
      <c r="J22" s="1">
        <v>1</v>
      </c>
      <c r="K22" s="3">
        <f t="shared" si="0"/>
        <v>100</v>
      </c>
    </row>
    <row r="23" spans="1:11" x14ac:dyDescent="0.2">
      <c r="A23">
        <v>22</v>
      </c>
      <c r="B23" t="s">
        <v>50</v>
      </c>
      <c r="C23" s="1">
        <v>625</v>
      </c>
      <c r="D23" s="1" t="s">
        <v>51</v>
      </c>
      <c r="E23" s="1">
        <v>625</v>
      </c>
      <c r="F23" s="1">
        <v>100</v>
      </c>
      <c r="G23" s="1" t="s">
        <v>52</v>
      </c>
      <c r="H23" s="1">
        <v>624</v>
      </c>
      <c r="J23" s="1">
        <v>625</v>
      </c>
      <c r="K23" s="3">
        <f t="shared" si="0"/>
        <v>100</v>
      </c>
    </row>
    <row r="24" spans="1:11" x14ac:dyDescent="0.2">
      <c r="A24">
        <v>23</v>
      </c>
      <c r="B24" t="s">
        <v>53</v>
      </c>
      <c r="C24" s="1">
        <v>4</v>
      </c>
      <c r="D24" s="1" t="s">
        <v>51</v>
      </c>
      <c r="E24" s="1">
        <v>4</v>
      </c>
      <c r="F24" s="1">
        <v>100</v>
      </c>
      <c r="G24" s="1" t="s">
        <v>52</v>
      </c>
      <c r="H24" s="1">
        <v>4</v>
      </c>
      <c r="J24" s="1">
        <v>4</v>
      </c>
      <c r="K24" s="3">
        <f t="shared" si="0"/>
        <v>100</v>
      </c>
    </row>
    <row r="25" spans="1:11" x14ac:dyDescent="0.2">
      <c r="A25">
        <v>24</v>
      </c>
      <c r="B25" t="s">
        <v>54</v>
      </c>
      <c r="C25" s="1">
        <v>14</v>
      </c>
      <c r="D25" s="1" t="s">
        <v>51</v>
      </c>
      <c r="E25" s="1">
        <v>14</v>
      </c>
      <c r="F25" s="1">
        <v>100</v>
      </c>
      <c r="G25" s="1" t="s">
        <v>52</v>
      </c>
      <c r="H25" s="1">
        <v>14</v>
      </c>
      <c r="J25" s="1">
        <v>14</v>
      </c>
      <c r="K25" s="3">
        <f t="shared" si="0"/>
        <v>100</v>
      </c>
    </row>
    <row r="26" spans="1:11" x14ac:dyDescent="0.2">
      <c r="A26">
        <v>25</v>
      </c>
      <c r="B26" t="s">
        <v>55</v>
      </c>
      <c r="C26" s="1">
        <v>2</v>
      </c>
      <c r="D26" s="1" t="s">
        <v>51</v>
      </c>
      <c r="E26" s="1">
        <v>2</v>
      </c>
      <c r="F26" s="1">
        <v>100</v>
      </c>
      <c r="G26" s="1" t="s">
        <v>52</v>
      </c>
      <c r="H26" s="1">
        <v>2</v>
      </c>
      <c r="J26" s="1">
        <v>2</v>
      </c>
      <c r="K26" s="3">
        <f t="shared" si="0"/>
        <v>100</v>
      </c>
    </row>
    <row r="27" spans="1:11" x14ac:dyDescent="0.2">
      <c r="A27">
        <v>26</v>
      </c>
      <c r="B27" t="s">
        <v>56</v>
      </c>
      <c r="C27" s="1">
        <v>60</v>
      </c>
      <c r="D27" s="1" t="s">
        <v>51</v>
      </c>
      <c r="E27" s="1">
        <v>60</v>
      </c>
      <c r="F27" s="1">
        <v>100</v>
      </c>
      <c r="G27" s="1" t="s">
        <v>52</v>
      </c>
      <c r="H27" s="1">
        <v>60</v>
      </c>
      <c r="J27" s="1">
        <v>60</v>
      </c>
      <c r="K27" s="3">
        <f t="shared" si="0"/>
        <v>100</v>
      </c>
    </row>
    <row r="28" spans="1:11" x14ac:dyDescent="0.2">
      <c r="A28">
        <v>27</v>
      </c>
      <c r="B28" t="s">
        <v>57</v>
      </c>
      <c r="C28" s="1">
        <v>10</v>
      </c>
      <c r="D28" s="1" t="s">
        <v>58</v>
      </c>
      <c r="E28" s="1">
        <v>10</v>
      </c>
      <c r="F28" s="1">
        <v>100</v>
      </c>
      <c r="G28" s="1" t="s">
        <v>59</v>
      </c>
      <c r="H28" s="1">
        <v>10</v>
      </c>
      <c r="J28" s="1">
        <v>10</v>
      </c>
      <c r="K28" s="3">
        <f t="shared" si="0"/>
        <v>100</v>
      </c>
    </row>
    <row r="29" spans="1:11" x14ac:dyDescent="0.2">
      <c r="A29">
        <v>28</v>
      </c>
      <c r="B29" t="s">
        <v>60</v>
      </c>
      <c r="C29" s="1">
        <v>604</v>
      </c>
      <c r="D29" s="1" t="s">
        <v>58</v>
      </c>
      <c r="E29" s="1">
        <v>604</v>
      </c>
      <c r="F29" s="1">
        <v>100</v>
      </c>
      <c r="G29" s="1" t="s">
        <v>59</v>
      </c>
      <c r="H29" s="1">
        <v>604</v>
      </c>
      <c r="J29" s="1">
        <v>604</v>
      </c>
      <c r="K29" s="3">
        <f t="shared" si="0"/>
        <v>100</v>
      </c>
    </row>
    <row r="30" spans="1:11" x14ac:dyDescent="0.2">
      <c r="A30">
        <v>29</v>
      </c>
      <c r="B30" t="s">
        <v>61</v>
      </c>
      <c r="C30" s="1">
        <v>10</v>
      </c>
      <c r="D30" s="1" t="s">
        <v>58</v>
      </c>
      <c r="E30" s="1">
        <v>10</v>
      </c>
      <c r="F30" s="1">
        <v>100</v>
      </c>
      <c r="G30" s="1" t="s">
        <v>62</v>
      </c>
      <c r="H30" s="1">
        <v>3</v>
      </c>
      <c r="J30" s="1">
        <v>10</v>
      </c>
      <c r="K30" s="3">
        <f t="shared" si="0"/>
        <v>100</v>
      </c>
    </row>
    <row r="31" spans="1:11" x14ac:dyDescent="0.2">
      <c r="A31">
        <v>30</v>
      </c>
      <c r="B31" t="s">
        <v>63</v>
      </c>
      <c r="C31" s="1">
        <v>3</v>
      </c>
      <c r="D31" s="1" t="s">
        <v>58</v>
      </c>
      <c r="E31" s="1">
        <v>3</v>
      </c>
      <c r="F31" s="1">
        <v>100</v>
      </c>
      <c r="G31" s="1" t="s">
        <v>64</v>
      </c>
      <c r="H31" s="1">
        <v>1</v>
      </c>
      <c r="J31" s="1">
        <v>3</v>
      </c>
      <c r="K31" s="3">
        <f t="shared" si="0"/>
        <v>100</v>
      </c>
    </row>
    <row r="32" spans="1:11" x14ac:dyDescent="0.2">
      <c r="A32">
        <v>31</v>
      </c>
      <c r="B32" t="s">
        <v>65</v>
      </c>
      <c r="C32" s="1">
        <v>128</v>
      </c>
      <c r="D32" s="1" t="s">
        <v>11</v>
      </c>
      <c r="E32" s="1">
        <v>128</v>
      </c>
      <c r="F32" s="1">
        <v>100</v>
      </c>
      <c r="G32" s="1" t="s">
        <v>12</v>
      </c>
      <c r="H32" s="1">
        <v>93</v>
      </c>
      <c r="J32" s="1">
        <v>128</v>
      </c>
      <c r="K32" s="3">
        <f t="shared" si="0"/>
        <v>100</v>
      </c>
    </row>
    <row r="33" spans="1:11" x14ac:dyDescent="0.2">
      <c r="A33">
        <v>32</v>
      </c>
      <c r="B33" t="s">
        <v>66</v>
      </c>
      <c r="C33" s="1">
        <v>51</v>
      </c>
      <c r="D33" s="1" t="s">
        <v>58</v>
      </c>
      <c r="E33" s="1">
        <v>51</v>
      </c>
      <c r="F33" s="1">
        <v>100</v>
      </c>
      <c r="G33" s="1" t="s">
        <v>62</v>
      </c>
      <c r="H33" s="1">
        <v>20</v>
      </c>
      <c r="J33" s="1">
        <v>51</v>
      </c>
      <c r="K33" s="3">
        <f t="shared" si="0"/>
        <v>100</v>
      </c>
    </row>
    <row r="34" spans="1:11" x14ac:dyDescent="0.2">
      <c r="A34">
        <v>33</v>
      </c>
      <c r="B34" t="s">
        <v>67</v>
      </c>
      <c r="C34" s="1">
        <v>13</v>
      </c>
      <c r="D34" s="1" t="s">
        <v>68</v>
      </c>
      <c r="E34" s="1">
        <v>13</v>
      </c>
      <c r="F34" s="1">
        <v>100</v>
      </c>
      <c r="G34" s="1" t="s">
        <v>69</v>
      </c>
      <c r="H34" s="1">
        <v>13</v>
      </c>
      <c r="J34" s="1">
        <v>13</v>
      </c>
      <c r="K34" s="3">
        <f t="shared" si="0"/>
        <v>100</v>
      </c>
    </row>
    <row r="35" spans="1:11" x14ac:dyDescent="0.2">
      <c r="A35">
        <v>34</v>
      </c>
      <c r="B35" t="s">
        <v>70</v>
      </c>
      <c r="C35" s="1">
        <v>123</v>
      </c>
      <c r="D35" s="1" t="s">
        <v>11</v>
      </c>
      <c r="E35" s="1">
        <v>123</v>
      </c>
      <c r="F35" s="1">
        <v>100</v>
      </c>
      <c r="G35" s="1" t="s">
        <v>12</v>
      </c>
      <c r="H35" s="1">
        <v>85</v>
      </c>
      <c r="J35" s="1">
        <v>123</v>
      </c>
      <c r="K35" s="3">
        <f t="shared" si="0"/>
        <v>100</v>
      </c>
    </row>
    <row r="36" spans="1:11" x14ac:dyDescent="0.2">
      <c r="A36">
        <v>35</v>
      </c>
      <c r="B36" t="s">
        <v>71</v>
      </c>
      <c r="C36" s="1">
        <v>755</v>
      </c>
      <c r="D36" s="1" t="s">
        <v>20</v>
      </c>
      <c r="E36" s="1">
        <v>755</v>
      </c>
      <c r="F36" s="1">
        <v>100</v>
      </c>
      <c r="G36" s="1" t="s">
        <v>72</v>
      </c>
      <c r="H36" s="1">
        <v>753</v>
      </c>
      <c r="J36" s="1">
        <v>755</v>
      </c>
      <c r="K36" s="3">
        <f t="shared" si="0"/>
        <v>100</v>
      </c>
    </row>
    <row r="37" spans="1:11" x14ac:dyDescent="0.2">
      <c r="A37">
        <v>36</v>
      </c>
      <c r="B37" t="s">
        <v>73</v>
      </c>
      <c r="C37" s="1">
        <v>852</v>
      </c>
      <c r="D37" s="1" t="s">
        <v>8</v>
      </c>
      <c r="E37" s="1">
        <v>852</v>
      </c>
      <c r="F37" s="1">
        <v>100</v>
      </c>
      <c r="G37" s="1" t="s">
        <v>74</v>
      </c>
      <c r="H37" s="1">
        <v>850</v>
      </c>
      <c r="J37" s="1">
        <v>852</v>
      </c>
      <c r="K37" s="3">
        <f t="shared" si="0"/>
        <v>100</v>
      </c>
    </row>
    <row r="38" spans="1:11" x14ac:dyDescent="0.2">
      <c r="A38">
        <v>37</v>
      </c>
      <c r="B38" t="s">
        <v>75</v>
      </c>
      <c r="C38" s="1">
        <v>33</v>
      </c>
      <c r="D38" s="1" t="s">
        <v>58</v>
      </c>
      <c r="E38" s="1">
        <v>33</v>
      </c>
      <c r="F38" s="1">
        <v>100</v>
      </c>
      <c r="G38" s="1" t="s">
        <v>76</v>
      </c>
      <c r="H38" s="1">
        <v>13</v>
      </c>
      <c r="J38" s="1">
        <v>33</v>
      </c>
      <c r="K38" s="3">
        <f t="shared" si="0"/>
        <v>100</v>
      </c>
    </row>
    <row r="39" spans="1:11" x14ac:dyDescent="0.2">
      <c r="A39">
        <v>38</v>
      </c>
      <c r="B39" t="s">
        <v>77</v>
      </c>
      <c r="C39" s="1">
        <v>0</v>
      </c>
      <c r="D39" s="1" t="s">
        <v>539</v>
      </c>
      <c r="E39" s="1" t="s">
        <v>539</v>
      </c>
      <c r="F39" s="1" t="s">
        <v>539</v>
      </c>
      <c r="G39" s="1" t="s">
        <v>539</v>
      </c>
      <c r="H39" s="1" t="s">
        <v>539</v>
      </c>
      <c r="I39" s="1" t="s">
        <v>539</v>
      </c>
      <c r="J39" s="1" t="s">
        <v>539</v>
      </c>
      <c r="K39" s="1" t="s">
        <v>539</v>
      </c>
    </row>
    <row r="40" spans="1:11" x14ac:dyDescent="0.2">
      <c r="A40">
        <v>39</v>
      </c>
      <c r="B40" t="s">
        <v>78</v>
      </c>
      <c r="C40" s="1">
        <v>13</v>
      </c>
      <c r="D40" s="1" t="s">
        <v>58</v>
      </c>
      <c r="E40" s="1">
        <v>13</v>
      </c>
      <c r="F40" s="1">
        <v>100</v>
      </c>
      <c r="G40" s="1" t="s">
        <v>62</v>
      </c>
      <c r="H40" s="1">
        <v>7</v>
      </c>
      <c r="J40" s="1">
        <v>13</v>
      </c>
      <c r="K40" s="3">
        <f t="shared" ref="K40:K46" si="1">100*J40/C40</f>
        <v>100</v>
      </c>
    </row>
    <row r="41" spans="1:11" x14ac:dyDescent="0.2">
      <c r="A41">
        <v>40</v>
      </c>
      <c r="B41" t="s">
        <v>79</v>
      </c>
      <c r="C41" s="1">
        <v>2</v>
      </c>
      <c r="D41" s="1" t="s">
        <v>58</v>
      </c>
      <c r="E41" s="1">
        <v>2</v>
      </c>
      <c r="F41" s="1">
        <v>100</v>
      </c>
      <c r="G41" s="1" t="s">
        <v>80</v>
      </c>
      <c r="H41" s="1">
        <v>2</v>
      </c>
      <c r="J41" s="1">
        <v>2</v>
      </c>
      <c r="K41" s="3">
        <f t="shared" si="1"/>
        <v>100</v>
      </c>
    </row>
    <row r="42" spans="1:11" x14ac:dyDescent="0.2">
      <c r="A42">
        <v>41</v>
      </c>
      <c r="B42" t="s">
        <v>81</v>
      </c>
      <c r="C42" s="1">
        <v>20</v>
      </c>
      <c r="D42" s="1" t="s">
        <v>58</v>
      </c>
      <c r="E42" s="1">
        <v>20</v>
      </c>
      <c r="F42" s="1">
        <v>100</v>
      </c>
      <c r="G42" s="1" t="s">
        <v>76</v>
      </c>
      <c r="H42" s="1">
        <v>8</v>
      </c>
      <c r="J42" s="1">
        <v>20</v>
      </c>
      <c r="K42" s="3">
        <f t="shared" si="1"/>
        <v>100</v>
      </c>
    </row>
    <row r="43" spans="1:11" x14ac:dyDescent="0.2">
      <c r="A43">
        <v>42</v>
      </c>
      <c r="B43" t="s">
        <v>82</v>
      </c>
      <c r="C43" s="1">
        <v>12</v>
      </c>
      <c r="D43" s="1" t="s">
        <v>83</v>
      </c>
      <c r="E43" s="1">
        <v>12</v>
      </c>
      <c r="F43" s="1">
        <v>100</v>
      </c>
      <c r="G43" s="1" t="s">
        <v>84</v>
      </c>
      <c r="H43" s="1">
        <v>11</v>
      </c>
      <c r="J43" s="1">
        <v>12</v>
      </c>
      <c r="K43" s="3">
        <f t="shared" si="1"/>
        <v>100</v>
      </c>
    </row>
    <row r="44" spans="1:11" x14ac:dyDescent="0.2">
      <c r="A44">
        <v>43</v>
      </c>
      <c r="B44" t="s">
        <v>85</v>
      </c>
      <c r="C44" s="1">
        <v>75</v>
      </c>
      <c r="D44" s="1" t="s">
        <v>86</v>
      </c>
      <c r="E44" s="1">
        <v>75</v>
      </c>
      <c r="F44" s="1">
        <v>100</v>
      </c>
      <c r="G44" s="1" t="s">
        <v>87</v>
      </c>
      <c r="H44" s="1">
        <v>51</v>
      </c>
      <c r="J44" s="1">
        <v>75</v>
      </c>
      <c r="K44" s="3">
        <f t="shared" si="1"/>
        <v>100</v>
      </c>
    </row>
    <row r="45" spans="1:11" x14ac:dyDescent="0.2">
      <c r="A45">
        <v>44</v>
      </c>
      <c r="B45" t="s">
        <v>88</v>
      </c>
      <c r="C45" s="1">
        <v>4</v>
      </c>
      <c r="D45" s="1" t="s">
        <v>89</v>
      </c>
      <c r="E45" s="1">
        <v>4</v>
      </c>
      <c r="F45" s="1">
        <v>100</v>
      </c>
      <c r="G45" s="1" t="s">
        <v>90</v>
      </c>
      <c r="H45" s="1">
        <v>3</v>
      </c>
      <c r="J45" s="1">
        <v>4</v>
      </c>
      <c r="K45" s="3">
        <f t="shared" si="1"/>
        <v>100</v>
      </c>
    </row>
    <row r="46" spans="1:11" x14ac:dyDescent="0.2">
      <c r="A46">
        <v>45</v>
      </c>
      <c r="B46" t="s">
        <v>91</v>
      </c>
      <c r="C46" s="1">
        <v>1</v>
      </c>
      <c r="D46" s="1" t="s">
        <v>83</v>
      </c>
      <c r="E46" s="1">
        <v>1</v>
      </c>
      <c r="F46" s="1">
        <v>100</v>
      </c>
      <c r="G46" s="1" t="s">
        <v>92</v>
      </c>
      <c r="H46" s="1">
        <v>1</v>
      </c>
      <c r="J46" s="1">
        <v>1</v>
      </c>
      <c r="K46" s="3">
        <f t="shared" si="1"/>
        <v>100</v>
      </c>
    </row>
    <row r="47" spans="1:11" x14ac:dyDescent="0.2">
      <c r="A47">
        <v>46</v>
      </c>
      <c r="B47" t="s">
        <v>93</v>
      </c>
      <c r="C47" s="1">
        <v>0</v>
      </c>
      <c r="D47" s="1" t="s">
        <v>539</v>
      </c>
      <c r="E47" s="1" t="s">
        <v>539</v>
      </c>
      <c r="F47" s="1" t="s">
        <v>539</v>
      </c>
      <c r="G47" s="1" t="s">
        <v>539</v>
      </c>
      <c r="H47" s="1" t="s">
        <v>539</v>
      </c>
      <c r="I47" s="1" t="s">
        <v>539</v>
      </c>
      <c r="J47" s="1" t="s">
        <v>539</v>
      </c>
      <c r="K47" s="1" t="s">
        <v>539</v>
      </c>
    </row>
    <row r="48" spans="1:11" x14ac:dyDescent="0.2">
      <c r="A48">
        <v>47</v>
      </c>
      <c r="B48" t="s">
        <v>94</v>
      </c>
      <c r="C48" s="1">
        <v>18</v>
      </c>
      <c r="D48" s="1" t="s">
        <v>83</v>
      </c>
      <c r="E48" s="1">
        <v>18</v>
      </c>
      <c r="F48" s="1">
        <v>100</v>
      </c>
      <c r="G48" s="1" t="s">
        <v>84</v>
      </c>
      <c r="H48" s="1">
        <v>17</v>
      </c>
      <c r="J48" s="1">
        <v>18</v>
      </c>
      <c r="K48" s="3">
        <f>100*J48/C48</f>
        <v>100</v>
      </c>
    </row>
    <row r="49" spans="1:11" x14ac:dyDescent="0.2">
      <c r="A49">
        <v>48</v>
      </c>
      <c r="B49" t="s">
        <v>95</v>
      </c>
      <c r="C49" s="1">
        <v>34</v>
      </c>
      <c r="D49" s="1" t="s">
        <v>83</v>
      </c>
      <c r="E49" s="1">
        <v>34</v>
      </c>
      <c r="F49" s="1">
        <v>100</v>
      </c>
      <c r="G49" s="1" t="s">
        <v>84</v>
      </c>
      <c r="H49" s="1">
        <v>34</v>
      </c>
      <c r="J49" s="1">
        <v>34</v>
      </c>
      <c r="K49" s="3">
        <f>100*J49/C49</f>
        <v>100</v>
      </c>
    </row>
    <row r="50" spans="1:11" x14ac:dyDescent="0.2">
      <c r="A50">
        <v>49</v>
      </c>
      <c r="B50" t="s">
        <v>96</v>
      </c>
      <c r="C50" s="1">
        <v>14</v>
      </c>
      <c r="D50" s="1" t="s">
        <v>86</v>
      </c>
      <c r="E50" s="1">
        <v>13</v>
      </c>
      <c r="F50" s="1">
        <v>92.9</v>
      </c>
      <c r="G50" s="1" t="s">
        <v>97</v>
      </c>
      <c r="H50" s="1">
        <v>9</v>
      </c>
      <c r="I50" s="1" t="s">
        <v>98</v>
      </c>
      <c r="J50" s="1">
        <v>13</v>
      </c>
      <c r="K50" s="3">
        <f>100*J50/C50</f>
        <v>92.857142857142861</v>
      </c>
    </row>
    <row r="51" spans="1:11" x14ac:dyDescent="0.2">
      <c r="A51">
        <v>50</v>
      </c>
      <c r="B51" t="s">
        <v>99</v>
      </c>
      <c r="C51" s="1">
        <v>166</v>
      </c>
      <c r="D51" s="1" t="s">
        <v>100</v>
      </c>
      <c r="E51" s="1">
        <v>166</v>
      </c>
      <c r="F51" s="1">
        <v>100</v>
      </c>
      <c r="G51" s="1" t="s">
        <v>101</v>
      </c>
      <c r="H51" s="1">
        <v>162</v>
      </c>
      <c r="J51" s="1">
        <v>166</v>
      </c>
      <c r="K51" s="3">
        <f>100*J51/C51</f>
        <v>100</v>
      </c>
    </row>
    <row r="52" spans="1:11" x14ac:dyDescent="0.2">
      <c r="A52">
        <v>51</v>
      </c>
      <c r="B52" t="s">
        <v>102</v>
      </c>
      <c r="C52" s="1">
        <v>0</v>
      </c>
      <c r="D52" s="1" t="s">
        <v>539</v>
      </c>
      <c r="E52" s="1" t="s">
        <v>539</v>
      </c>
      <c r="F52" s="1" t="s">
        <v>539</v>
      </c>
      <c r="G52" s="1" t="s">
        <v>539</v>
      </c>
      <c r="H52" s="1" t="s">
        <v>539</v>
      </c>
      <c r="I52" s="1" t="s">
        <v>539</v>
      </c>
      <c r="J52" s="1" t="s">
        <v>539</v>
      </c>
      <c r="K52" s="1" t="s">
        <v>539</v>
      </c>
    </row>
    <row r="53" spans="1:11" x14ac:dyDescent="0.2">
      <c r="A53">
        <v>52</v>
      </c>
      <c r="B53" t="s">
        <v>103</v>
      </c>
      <c r="C53" s="1">
        <v>0</v>
      </c>
      <c r="D53" s="1" t="s">
        <v>539</v>
      </c>
      <c r="E53" s="1" t="s">
        <v>539</v>
      </c>
      <c r="F53" s="1" t="s">
        <v>539</v>
      </c>
      <c r="G53" s="1" t="s">
        <v>539</v>
      </c>
      <c r="H53" s="1" t="s">
        <v>539</v>
      </c>
      <c r="I53" s="1" t="s">
        <v>539</v>
      </c>
      <c r="J53" s="1" t="s">
        <v>539</v>
      </c>
      <c r="K53" s="1" t="s">
        <v>539</v>
      </c>
    </row>
    <row r="54" spans="1:11" x14ac:dyDescent="0.2">
      <c r="A54">
        <v>53</v>
      </c>
      <c r="B54" t="s">
        <v>104</v>
      </c>
      <c r="C54" s="1">
        <v>0</v>
      </c>
      <c r="D54" s="1" t="s">
        <v>539</v>
      </c>
      <c r="E54" s="1" t="s">
        <v>539</v>
      </c>
      <c r="F54" s="1" t="s">
        <v>539</v>
      </c>
      <c r="G54" s="1" t="s">
        <v>539</v>
      </c>
      <c r="H54" s="1" t="s">
        <v>539</v>
      </c>
      <c r="I54" s="1" t="s">
        <v>539</v>
      </c>
      <c r="J54" s="1" t="s">
        <v>539</v>
      </c>
      <c r="K54" s="1" t="s">
        <v>539</v>
      </c>
    </row>
    <row r="55" spans="1:11" x14ac:dyDescent="0.2">
      <c r="A55">
        <v>54</v>
      </c>
      <c r="B55" t="s">
        <v>105</v>
      </c>
      <c r="C55" s="1">
        <v>0</v>
      </c>
      <c r="D55" s="1" t="s">
        <v>539</v>
      </c>
      <c r="E55" s="1" t="s">
        <v>539</v>
      </c>
      <c r="F55" s="1" t="s">
        <v>539</v>
      </c>
      <c r="G55" s="1" t="s">
        <v>539</v>
      </c>
      <c r="H55" s="1" t="s">
        <v>539</v>
      </c>
      <c r="I55" s="1" t="s">
        <v>539</v>
      </c>
      <c r="J55" s="1" t="s">
        <v>539</v>
      </c>
      <c r="K55" s="1" t="s">
        <v>539</v>
      </c>
    </row>
    <row r="56" spans="1:11" x14ac:dyDescent="0.2">
      <c r="A56">
        <v>55</v>
      </c>
      <c r="B56" t="s">
        <v>106</v>
      </c>
      <c r="C56" s="1">
        <v>0</v>
      </c>
      <c r="D56" s="1" t="s">
        <v>539</v>
      </c>
      <c r="E56" s="1" t="s">
        <v>539</v>
      </c>
      <c r="F56" s="1" t="s">
        <v>539</v>
      </c>
      <c r="G56" s="1" t="s">
        <v>539</v>
      </c>
      <c r="H56" s="1" t="s">
        <v>539</v>
      </c>
      <c r="I56" s="1" t="s">
        <v>539</v>
      </c>
      <c r="J56" s="1" t="s">
        <v>539</v>
      </c>
      <c r="K56" s="1" t="s">
        <v>539</v>
      </c>
    </row>
    <row r="57" spans="1:11" x14ac:dyDescent="0.2">
      <c r="A57">
        <v>56</v>
      </c>
      <c r="B57" t="s">
        <v>107</v>
      </c>
      <c r="C57" s="1">
        <v>125</v>
      </c>
      <c r="D57" s="1" t="s">
        <v>68</v>
      </c>
      <c r="E57" s="1">
        <v>125</v>
      </c>
      <c r="F57" s="1">
        <v>100</v>
      </c>
      <c r="G57" s="1" t="s">
        <v>108</v>
      </c>
      <c r="H57" s="1">
        <v>124</v>
      </c>
      <c r="J57" s="1">
        <v>125</v>
      </c>
      <c r="K57" s="3">
        <f>100*J57/C57</f>
        <v>100</v>
      </c>
    </row>
    <row r="58" spans="1:11" x14ac:dyDescent="0.2">
      <c r="A58">
        <v>57</v>
      </c>
      <c r="B58" t="s">
        <v>109</v>
      </c>
      <c r="C58" s="1">
        <v>0</v>
      </c>
      <c r="D58" s="1" t="s">
        <v>539</v>
      </c>
      <c r="E58" s="1" t="s">
        <v>539</v>
      </c>
      <c r="F58" s="1" t="s">
        <v>539</v>
      </c>
      <c r="G58" s="1" t="s">
        <v>539</v>
      </c>
      <c r="H58" s="1" t="s">
        <v>539</v>
      </c>
      <c r="I58" s="1" t="s">
        <v>539</v>
      </c>
      <c r="J58" s="1" t="s">
        <v>539</v>
      </c>
      <c r="K58" s="1" t="s">
        <v>539</v>
      </c>
    </row>
    <row r="59" spans="1:11" x14ac:dyDescent="0.2">
      <c r="A59">
        <v>58</v>
      </c>
      <c r="B59" t="s">
        <v>110</v>
      </c>
      <c r="C59" s="1">
        <v>1</v>
      </c>
      <c r="D59" s="1" t="s">
        <v>68</v>
      </c>
      <c r="E59" s="1">
        <v>1</v>
      </c>
      <c r="F59" s="1">
        <v>100</v>
      </c>
      <c r="G59" s="1" t="s">
        <v>111</v>
      </c>
      <c r="H59" s="1">
        <v>1</v>
      </c>
      <c r="J59" s="1">
        <v>1</v>
      </c>
      <c r="K59" s="3">
        <f>100*J59/C59</f>
        <v>100</v>
      </c>
    </row>
    <row r="60" spans="1:11" x14ac:dyDescent="0.2">
      <c r="A60">
        <v>59</v>
      </c>
      <c r="B60" t="s">
        <v>112</v>
      </c>
      <c r="C60" s="1">
        <v>0</v>
      </c>
      <c r="D60" s="1" t="s">
        <v>539</v>
      </c>
      <c r="E60" s="1" t="s">
        <v>539</v>
      </c>
      <c r="F60" s="1" t="s">
        <v>539</v>
      </c>
      <c r="G60" s="1" t="s">
        <v>539</v>
      </c>
      <c r="H60" s="1" t="s">
        <v>539</v>
      </c>
      <c r="I60" s="1" t="s">
        <v>539</v>
      </c>
      <c r="J60" s="1" t="s">
        <v>539</v>
      </c>
      <c r="K60" s="1" t="s">
        <v>539</v>
      </c>
    </row>
    <row r="61" spans="1:11" x14ac:dyDescent="0.2">
      <c r="A61">
        <v>60</v>
      </c>
      <c r="B61" t="s">
        <v>113</v>
      </c>
      <c r="C61" s="1">
        <v>0</v>
      </c>
      <c r="D61" s="1" t="s">
        <v>539</v>
      </c>
      <c r="E61" s="1" t="s">
        <v>539</v>
      </c>
      <c r="F61" s="1" t="s">
        <v>539</v>
      </c>
      <c r="G61" s="1" t="s">
        <v>539</v>
      </c>
      <c r="H61" s="1" t="s">
        <v>539</v>
      </c>
      <c r="I61" s="1" t="s">
        <v>539</v>
      </c>
      <c r="J61" s="1" t="s">
        <v>539</v>
      </c>
      <c r="K61" s="1" t="s">
        <v>539</v>
      </c>
    </row>
    <row r="62" spans="1:11" x14ac:dyDescent="0.2">
      <c r="A62">
        <v>61</v>
      </c>
      <c r="B62" t="s">
        <v>114</v>
      </c>
      <c r="C62" s="1">
        <v>37</v>
      </c>
      <c r="D62" s="1" t="s">
        <v>100</v>
      </c>
      <c r="E62" s="1">
        <v>37</v>
      </c>
      <c r="F62" s="1">
        <v>100</v>
      </c>
      <c r="G62" s="1" t="s">
        <v>101</v>
      </c>
      <c r="H62" s="1">
        <v>34</v>
      </c>
      <c r="J62" s="1">
        <v>37</v>
      </c>
      <c r="K62" s="3">
        <f>100*J62/C62</f>
        <v>100</v>
      </c>
    </row>
    <row r="63" spans="1:11" x14ac:dyDescent="0.2">
      <c r="A63">
        <v>62</v>
      </c>
      <c r="B63" t="s">
        <v>115</v>
      </c>
      <c r="C63" s="1">
        <v>0</v>
      </c>
      <c r="D63" s="1" t="s">
        <v>539</v>
      </c>
      <c r="E63" s="1" t="s">
        <v>539</v>
      </c>
      <c r="F63" s="1" t="s">
        <v>539</v>
      </c>
      <c r="G63" s="1" t="s">
        <v>539</v>
      </c>
      <c r="H63" s="1" t="s">
        <v>539</v>
      </c>
      <c r="I63" s="1" t="s">
        <v>539</v>
      </c>
      <c r="J63" s="1" t="s">
        <v>539</v>
      </c>
      <c r="K63" s="1" t="s">
        <v>539</v>
      </c>
    </row>
    <row r="64" spans="1:11" x14ac:dyDescent="0.2">
      <c r="A64">
        <v>63</v>
      </c>
      <c r="B64" t="s">
        <v>116</v>
      </c>
      <c r="C64" s="1">
        <v>0</v>
      </c>
      <c r="D64" s="1" t="s">
        <v>539</v>
      </c>
      <c r="E64" s="1" t="s">
        <v>539</v>
      </c>
      <c r="F64" s="1" t="s">
        <v>539</v>
      </c>
      <c r="G64" s="1" t="s">
        <v>539</v>
      </c>
      <c r="H64" s="1" t="s">
        <v>539</v>
      </c>
      <c r="I64" s="1" t="s">
        <v>539</v>
      </c>
      <c r="J64" s="1" t="s">
        <v>539</v>
      </c>
      <c r="K64" s="1" t="s">
        <v>539</v>
      </c>
    </row>
    <row r="65" spans="1:11" x14ac:dyDescent="0.2">
      <c r="A65">
        <v>64</v>
      </c>
      <c r="B65" t="s">
        <v>117</v>
      </c>
      <c r="C65" s="1">
        <v>43</v>
      </c>
      <c r="D65" s="1" t="s">
        <v>118</v>
      </c>
      <c r="E65" s="1">
        <v>43</v>
      </c>
      <c r="F65" s="1">
        <v>100</v>
      </c>
      <c r="G65" s="1" t="s">
        <v>119</v>
      </c>
      <c r="H65" s="1">
        <v>43</v>
      </c>
      <c r="J65" s="1">
        <v>43</v>
      </c>
      <c r="K65" s="3">
        <f>100*J65/C65</f>
        <v>100</v>
      </c>
    </row>
    <row r="66" spans="1:11" x14ac:dyDescent="0.2">
      <c r="A66">
        <v>65</v>
      </c>
      <c r="B66" t="s">
        <v>120</v>
      </c>
      <c r="C66" s="1">
        <v>0</v>
      </c>
      <c r="D66" s="1" t="s">
        <v>539</v>
      </c>
      <c r="E66" s="1" t="s">
        <v>539</v>
      </c>
      <c r="F66" s="1" t="s">
        <v>539</v>
      </c>
      <c r="G66" s="1" t="s">
        <v>539</v>
      </c>
      <c r="H66" s="1" t="s">
        <v>539</v>
      </c>
      <c r="I66" s="1" t="s">
        <v>539</v>
      </c>
      <c r="J66" s="1" t="s">
        <v>539</v>
      </c>
      <c r="K66" s="1" t="s">
        <v>539</v>
      </c>
    </row>
    <row r="67" spans="1:11" x14ac:dyDescent="0.2">
      <c r="A67">
        <v>66</v>
      </c>
      <c r="B67" t="s">
        <v>121</v>
      </c>
      <c r="C67" s="1">
        <v>6</v>
      </c>
      <c r="D67" s="1" t="s">
        <v>86</v>
      </c>
      <c r="E67" s="1">
        <v>6</v>
      </c>
      <c r="F67" s="1">
        <v>100</v>
      </c>
      <c r="G67" s="1" t="s">
        <v>122</v>
      </c>
      <c r="H67" s="1">
        <v>4</v>
      </c>
      <c r="J67" s="1">
        <v>6</v>
      </c>
      <c r="K67" s="3">
        <f>100*J67/C67</f>
        <v>100</v>
      </c>
    </row>
    <row r="68" spans="1:11" x14ac:dyDescent="0.2">
      <c r="A68">
        <v>67</v>
      </c>
      <c r="B68" t="s">
        <v>123</v>
      </c>
      <c r="C68" s="1">
        <v>0</v>
      </c>
      <c r="D68" s="1" t="s">
        <v>539</v>
      </c>
      <c r="E68" s="1" t="s">
        <v>539</v>
      </c>
      <c r="F68" s="1" t="s">
        <v>539</v>
      </c>
      <c r="G68" s="1" t="s">
        <v>539</v>
      </c>
      <c r="H68" s="1" t="s">
        <v>539</v>
      </c>
      <c r="I68" s="1" t="s">
        <v>539</v>
      </c>
      <c r="J68" s="1" t="s">
        <v>539</v>
      </c>
      <c r="K68" s="1" t="s">
        <v>539</v>
      </c>
    </row>
    <row r="69" spans="1:11" x14ac:dyDescent="0.2">
      <c r="A69">
        <v>68</v>
      </c>
      <c r="B69" t="s">
        <v>124</v>
      </c>
      <c r="C69" s="1">
        <v>0</v>
      </c>
      <c r="D69" s="1" t="s">
        <v>539</v>
      </c>
      <c r="E69" s="1" t="s">
        <v>539</v>
      </c>
      <c r="F69" s="1" t="s">
        <v>539</v>
      </c>
      <c r="G69" s="1" t="s">
        <v>539</v>
      </c>
      <c r="H69" s="1" t="s">
        <v>539</v>
      </c>
      <c r="I69" s="1" t="s">
        <v>539</v>
      </c>
      <c r="J69" s="1" t="s">
        <v>539</v>
      </c>
      <c r="K69" s="1" t="s">
        <v>539</v>
      </c>
    </row>
    <row r="70" spans="1:11" x14ac:dyDescent="0.2">
      <c r="A70">
        <v>69</v>
      </c>
      <c r="B70" t="s">
        <v>125</v>
      </c>
      <c r="C70" s="1">
        <v>3583</v>
      </c>
      <c r="D70" s="1" t="s">
        <v>126</v>
      </c>
      <c r="E70" s="1">
        <v>3582</v>
      </c>
      <c r="F70" s="1">
        <v>100</v>
      </c>
      <c r="G70" s="1" t="s">
        <v>127</v>
      </c>
      <c r="H70" s="1">
        <v>3580</v>
      </c>
      <c r="I70" s="1" t="s">
        <v>128</v>
      </c>
      <c r="J70" s="1">
        <v>3582</v>
      </c>
      <c r="K70" s="3">
        <f t="shared" ref="K70:K110" si="2">100*J70/C70</f>
        <v>99.972090427016468</v>
      </c>
    </row>
    <row r="71" spans="1:11" x14ac:dyDescent="0.2">
      <c r="A71">
        <v>70</v>
      </c>
      <c r="B71" t="s">
        <v>129</v>
      </c>
      <c r="C71" s="1">
        <v>103</v>
      </c>
      <c r="D71" s="1" t="s">
        <v>130</v>
      </c>
      <c r="E71" s="1">
        <v>96</v>
      </c>
      <c r="F71" s="1">
        <v>93.2</v>
      </c>
      <c r="G71" s="1" t="s">
        <v>131</v>
      </c>
      <c r="H71" s="1">
        <v>68</v>
      </c>
      <c r="I71" s="1" t="s">
        <v>132</v>
      </c>
      <c r="J71" s="2">
        <v>103</v>
      </c>
      <c r="K71" s="3">
        <f t="shared" si="2"/>
        <v>100</v>
      </c>
    </row>
    <row r="72" spans="1:11" x14ac:dyDescent="0.2">
      <c r="A72">
        <v>71</v>
      </c>
      <c r="B72" t="s">
        <v>133</v>
      </c>
      <c r="C72" s="1">
        <v>90</v>
      </c>
      <c r="D72" s="1" t="s">
        <v>130</v>
      </c>
      <c r="E72" s="1">
        <v>85</v>
      </c>
      <c r="F72" s="1">
        <v>94.4</v>
      </c>
      <c r="G72" s="1" t="s">
        <v>131</v>
      </c>
      <c r="H72" s="1">
        <v>51</v>
      </c>
      <c r="I72" s="1" t="s">
        <v>134</v>
      </c>
      <c r="J72" s="2">
        <v>90</v>
      </c>
      <c r="K72" s="3">
        <f t="shared" si="2"/>
        <v>100</v>
      </c>
    </row>
    <row r="73" spans="1:11" x14ac:dyDescent="0.2">
      <c r="A73">
        <v>72</v>
      </c>
      <c r="B73" t="s">
        <v>135</v>
      </c>
      <c r="C73" s="1">
        <v>54</v>
      </c>
      <c r="D73" s="1" t="s">
        <v>136</v>
      </c>
      <c r="E73" s="1">
        <v>54</v>
      </c>
      <c r="F73" s="1">
        <v>100</v>
      </c>
      <c r="G73" s="1" t="s">
        <v>137</v>
      </c>
      <c r="H73" s="1">
        <v>20</v>
      </c>
      <c r="J73" s="1">
        <v>54</v>
      </c>
      <c r="K73" s="3">
        <f t="shared" si="2"/>
        <v>100</v>
      </c>
    </row>
    <row r="74" spans="1:11" x14ac:dyDescent="0.2">
      <c r="A74">
        <v>73</v>
      </c>
      <c r="B74" t="s">
        <v>138</v>
      </c>
      <c r="C74" s="1">
        <v>161</v>
      </c>
      <c r="D74" s="1" t="s">
        <v>20</v>
      </c>
      <c r="E74" s="1">
        <v>108</v>
      </c>
      <c r="F74" s="1">
        <v>67.099999999999994</v>
      </c>
      <c r="G74" s="1" t="s">
        <v>139</v>
      </c>
      <c r="H74" s="1">
        <v>72</v>
      </c>
      <c r="I74" s="1" t="s">
        <v>140</v>
      </c>
      <c r="J74" s="2">
        <v>159</v>
      </c>
      <c r="K74" s="3">
        <f t="shared" si="2"/>
        <v>98.757763975155285</v>
      </c>
    </row>
    <row r="75" spans="1:11" x14ac:dyDescent="0.2">
      <c r="A75">
        <v>74</v>
      </c>
      <c r="B75" t="s">
        <v>141</v>
      </c>
      <c r="C75" s="1">
        <v>117</v>
      </c>
      <c r="D75" s="1" t="s">
        <v>37</v>
      </c>
      <c r="E75" s="1">
        <v>116</v>
      </c>
      <c r="F75" s="1">
        <v>99.1</v>
      </c>
      <c r="G75" s="1" t="s">
        <v>142</v>
      </c>
      <c r="H75" s="1">
        <v>64</v>
      </c>
      <c r="I75" s="1" t="s">
        <v>143</v>
      </c>
      <c r="J75" s="1">
        <v>116</v>
      </c>
      <c r="K75" s="3">
        <f t="shared" si="2"/>
        <v>99.145299145299148</v>
      </c>
    </row>
    <row r="76" spans="1:11" x14ac:dyDescent="0.2">
      <c r="A76">
        <v>75</v>
      </c>
      <c r="B76" t="s">
        <v>144</v>
      </c>
      <c r="C76" s="1">
        <v>86</v>
      </c>
      <c r="D76" s="1" t="s">
        <v>145</v>
      </c>
      <c r="E76" s="1">
        <v>53</v>
      </c>
      <c r="F76" s="1">
        <v>61.6</v>
      </c>
      <c r="G76" s="1" t="s">
        <v>146</v>
      </c>
      <c r="H76" s="1">
        <v>53</v>
      </c>
      <c r="I76" s="1" t="s">
        <v>147</v>
      </c>
      <c r="J76" s="2">
        <v>86</v>
      </c>
      <c r="K76" s="3">
        <f t="shared" si="2"/>
        <v>100</v>
      </c>
    </row>
    <row r="77" spans="1:11" x14ac:dyDescent="0.2">
      <c r="A77">
        <v>76</v>
      </c>
      <c r="B77" t="s">
        <v>148</v>
      </c>
      <c r="C77" s="1">
        <v>103</v>
      </c>
      <c r="D77" s="1" t="s">
        <v>149</v>
      </c>
      <c r="E77" s="1">
        <v>102</v>
      </c>
      <c r="F77" s="1">
        <v>99</v>
      </c>
      <c r="G77" s="1" t="s">
        <v>150</v>
      </c>
      <c r="H77" s="1">
        <v>48</v>
      </c>
      <c r="I77" s="1" t="s">
        <v>151</v>
      </c>
      <c r="J77" s="1">
        <v>102</v>
      </c>
      <c r="K77" s="3">
        <f t="shared" si="2"/>
        <v>99.029126213592235</v>
      </c>
    </row>
    <row r="78" spans="1:11" x14ac:dyDescent="0.2">
      <c r="A78">
        <v>77</v>
      </c>
      <c r="B78" t="s">
        <v>152</v>
      </c>
      <c r="C78" s="1">
        <v>574</v>
      </c>
      <c r="D78" s="1" t="s">
        <v>130</v>
      </c>
      <c r="E78" s="1">
        <v>523</v>
      </c>
      <c r="F78" s="1">
        <v>91.1</v>
      </c>
      <c r="G78" s="1" t="s">
        <v>153</v>
      </c>
      <c r="H78" s="1">
        <v>417</v>
      </c>
      <c r="I78" s="1" t="s">
        <v>154</v>
      </c>
      <c r="J78" s="2">
        <v>574</v>
      </c>
      <c r="K78" s="3">
        <f t="shared" si="2"/>
        <v>100</v>
      </c>
    </row>
    <row r="79" spans="1:11" x14ac:dyDescent="0.2">
      <c r="A79">
        <v>78</v>
      </c>
      <c r="B79" t="s">
        <v>155</v>
      </c>
      <c r="C79" s="1">
        <v>80</v>
      </c>
      <c r="D79" s="1" t="s">
        <v>43</v>
      </c>
      <c r="E79" s="1">
        <v>80</v>
      </c>
      <c r="F79" s="1">
        <v>100</v>
      </c>
      <c r="G79" s="1" t="s">
        <v>156</v>
      </c>
      <c r="H79" s="1">
        <v>77</v>
      </c>
      <c r="J79" s="1">
        <v>80</v>
      </c>
      <c r="K79" s="3">
        <f t="shared" si="2"/>
        <v>100</v>
      </c>
    </row>
    <row r="80" spans="1:11" x14ac:dyDescent="0.2">
      <c r="A80">
        <v>79</v>
      </c>
      <c r="B80" t="s">
        <v>157</v>
      </c>
      <c r="C80" s="1">
        <v>286</v>
      </c>
      <c r="D80" s="1" t="s">
        <v>37</v>
      </c>
      <c r="E80" s="1">
        <v>286</v>
      </c>
      <c r="F80" s="1">
        <v>100</v>
      </c>
      <c r="G80" s="1" t="s">
        <v>38</v>
      </c>
      <c r="H80" s="1">
        <v>225</v>
      </c>
      <c r="J80" s="1">
        <v>286</v>
      </c>
      <c r="K80" s="3">
        <f t="shared" si="2"/>
        <v>100</v>
      </c>
    </row>
    <row r="81" spans="1:11" x14ac:dyDescent="0.2">
      <c r="A81">
        <v>80</v>
      </c>
      <c r="B81" t="s">
        <v>158</v>
      </c>
      <c r="C81" s="1">
        <v>208</v>
      </c>
      <c r="D81" s="1" t="s">
        <v>20</v>
      </c>
      <c r="E81" s="1">
        <v>159</v>
      </c>
      <c r="F81" s="1">
        <v>76.400000000000006</v>
      </c>
      <c r="G81" s="1" t="s">
        <v>159</v>
      </c>
      <c r="H81" s="1">
        <v>44</v>
      </c>
      <c r="I81" s="1" t="s">
        <v>160</v>
      </c>
      <c r="J81" s="2">
        <v>207</v>
      </c>
      <c r="K81" s="3">
        <f t="shared" si="2"/>
        <v>99.519230769230774</v>
      </c>
    </row>
    <row r="82" spans="1:11" x14ac:dyDescent="0.2">
      <c r="A82">
        <v>81</v>
      </c>
      <c r="B82" t="s">
        <v>161</v>
      </c>
      <c r="C82" s="1">
        <v>52</v>
      </c>
      <c r="D82" s="1" t="s">
        <v>47</v>
      </c>
      <c r="E82" s="1">
        <v>51</v>
      </c>
      <c r="F82" s="1">
        <v>98.1</v>
      </c>
      <c r="G82" s="1" t="s">
        <v>162</v>
      </c>
      <c r="H82" s="1">
        <v>51</v>
      </c>
      <c r="I82" s="1" t="s">
        <v>128</v>
      </c>
      <c r="J82" s="1">
        <v>51</v>
      </c>
      <c r="K82" s="3">
        <f t="shared" si="2"/>
        <v>98.07692307692308</v>
      </c>
    </row>
    <row r="83" spans="1:11" x14ac:dyDescent="0.2">
      <c r="A83">
        <v>82</v>
      </c>
      <c r="B83" t="s">
        <v>163</v>
      </c>
      <c r="C83" s="1">
        <v>152</v>
      </c>
      <c r="D83" s="1" t="s">
        <v>164</v>
      </c>
      <c r="E83" s="1">
        <v>147</v>
      </c>
      <c r="F83" s="1">
        <v>96.7</v>
      </c>
      <c r="G83" s="1" t="s">
        <v>165</v>
      </c>
      <c r="H83" s="1">
        <v>109</v>
      </c>
      <c r="I83" s="1" t="s">
        <v>166</v>
      </c>
      <c r="J83" s="2">
        <v>150</v>
      </c>
      <c r="K83" s="3">
        <f t="shared" si="2"/>
        <v>98.684210526315795</v>
      </c>
    </row>
    <row r="84" spans="1:11" x14ac:dyDescent="0.2">
      <c r="A84">
        <v>83</v>
      </c>
      <c r="B84" t="s">
        <v>167</v>
      </c>
      <c r="C84" s="1">
        <v>3</v>
      </c>
      <c r="D84" s="1" t="s">
        <v>86</v>
      </c>
      <c r="E84" s="1">
        <v>2</v>
      </c>
      <c r="F84" s="1">
        <v>66.7</v>
      </c>
      <c r="G84" s="1" t="s">
        <v>168</v>
      </c>
      <c r="H84" s="1">
        <v>2</v>
      </c>
      <c r="I84" s="1" t="s">
        <v>169</v>
      </c>
      <c r="J84" s="1">
        <v>2</v>
      </c>
      <c r="K84" s="3">
        <f t="shared" si="2"/>
        <v>66.666666666666671</v>
      </c>
    </row>
    <row r="85" spans="1:11" x14ac:dyDescent="0.2">
      <c r="A85">
        <v>84</v>
      </c>
      <c r="B85" t="s">
        <v>170</v>
      </c>
      <c r="C85" s="1">
        <v>106</v>
      </c>
      <c r="D85" s="1" t="s">
        <v>51</v>
      </c>
      <c r="E85" s="1">
        <v>106</v>
      </c>
      <c r="F85" s="1">
        <v>100</v>
      </c>
      <c r="G85" s="1" t="s">
        <v>171</v>
      </c>
      <c r="H85" s="1">
        <v>57</v>
      </c>
      <c r="J85" s="1">
        <v>106</v>
      </c>
      <c r="K85" s="3">
        <f t="shared" si="2"/>
        <v>100</v>
      </c>
    </row>
    <row r="86" spans="1:11" x14ac:dyDescent="0.2">
      <c r="A86">
        <v>85</v>
      </c>
      <c r="B86" t="s">
        <v>172</v>
      </c>
      <c r="C86" s="1">
        <v>1330</v>
      </c>
      <c r="D86" s="1" t="s">
        <v>173</v>
      </c>
      <c r="E86" s="1">
        <v>1329</v>
      </c>
      <c r="F86" s="1">
        <v>99.9</v>
      </c>
      <c r="G86" s="1" t="s">
        <v>174</v>
      </c>
      <c r="H86" s="1">
        <v>1112</v>
      </c>
      <c r="I86" s="1" t="s">
        <v>143</v>
      </c>
      <c r="J86" s="1">
        <v>1329</v>
      </c>
      <c r="K86" s="3">
        <f t="shared" si="2"/>
        <v>99.924812030075188</v>
      </c>
    </row>
    <row r="87" spans="1:11" x14ac:dyDescent="0.2">
      <c r="A87">
        <v>86</v>
      </c>
      <c r="B87" t="s">
        <v>175</v>
      </c>
      <c r="C87" s="1">
        <v>335</v>
      </c>
      <c r="D87" s="1" t="s">
        <v>176</v>
      </c>
      <c r="E87" s="1">
        <v>335</v>
      </c>
      <c r="F87" s="1">
        <v>100</v>
      </c>
      <c r="G87" s="1" t="s">
        <v>177</v>
      </c>
      <c r="H87" s="1">
        <v>155</v>
      </c>
      <c r="J87" s="1">
        <v>335</v>
      </c>
      <c r="K87" s="3">
        <f t="shared" si="2"/>
        <v>100</v>
      </c>
    </row>
    <row r="88" spans="1:11" x14ac:dyDescent="0.2">
      <c r="A88">
        <v>87</v>
      </c>
      <c r="B88" t="s">
        <v>178</v>
      </c>
      <c r="C88" s="1">
        <v>289</v>
      </c>
      <c r="D88" s="1" t="s">
        <v>176</v>
      </c>
      <c r="E88" s="1">
        <v>288</v>
      </c>
      <c r="F88" s="1">
        <v>99.7</v>
      </c>
      <c r="G88" s="1" t="s">
        <v>179</v>
      </c>
      <c r="H88" s="1">
        <v>124</v>
      </c>
      <c r="I88" s="1" t="s">
        <v>180</v>
      </c>
      <c r="J88" s="1">
        <v>288</v>
      </c>
      <c r="K88" s="3">
        <f t="shared" si="2"/>
        <v>99.653979238754332</v>
      </c>
    </row>
    <row r="89" spans="1:11" x14ac:dyDescent="0.2">
      <c r="A89">
        <v>88</v>
      </c>
      <c r="B89" t="s">
        <v>181</v>
      </c>
      <c r="C89" s="1">
        <v>76</v>
      </c>
      <c r="D89" s="1" t="s">
        <v>118</v>
      </c>
      <c r="E89" s="1">
        <v>74</v>
      </c>
      <c r="F89" s="1">
        <v>97.4</v>
      </c>
      <c r="G89" s="1" t="s">
        <v>182</v>
      </c>
      <c r="H89" s="1">
        <v>22</v>
      </c>
      <c r="I89" s="1" t="s">
        <v>183</v>
      </c>
      <c r="J89" s="2">
        <v>75</v>
      </c>
      <c r="K89" s="3">
        <f t="shared" si="2"/>
        <v>98.684210526315795</v>
      </c>
    </row>
    <row r="90" spans="1:11" x14ac:dyDescent="0.2">
      <c r="A90">
        <v>89</v>
      </c>
      <c r="B90" t="s">
        <v>184</v>
      </c>
      <c r="C90" s="1">
        <v>234</v>
      </c>
      <c r="D90" s="1" t="s">
        <v>173</v>
      </c>
      <c r="E90" s="1">
        <v>233</v>
      </c>
      <c r="F90" s="1">
        <v>99.6</v>
      </c>
      <c r="G90" s="1" t="s">
        <v>174</v>
      </c>
      <c r="H90" s="1">
        <v>193</v>
      </c>
      <c r="I90" s="1" t="s">
        <v>169</v>
      </c>
      <c r="J90" s="1">
        <v>233</v>
      </c>
      <c r="K90" s="3">
        <f t="shared" si="2"/>
        <v>99.572649572649567</v>
      </c>
    </row>
    <row r="91" spans="1:11" x14ac:dyDescent="0.2">
      <c r="A91">
        <v>90</v>
      </c>
      <c r="B91" t="s">
        <v>185</v>
      </c>
      <c r="C91" s="1">
        <v>339</v>
      </c>
      <c r="D91" s="1" t="s">
        <v>176</v>
      </c>
      <c r="E91" s="1">
        <v>339</v>
      </c>
      <c r="F91" s="1">
        <v>100</v>
      </c>
      <c r="G91" s="1" t="s">
        <v>177</v>
      </c>
      <c r="H91" s="1">
        <v>156</v>
      </c>
      <c r="J91" s="1">
        <v>339</v>
      </c>
      <c r="K91" s="3">
        <f t="shared" si="2"/>
        <v>100</v>
      </c>
    </row>
    <row r="92" spans="1:11" x14ac:dyDescent="0.2">
      <c r="A92">
        <v>91</v>
      </c>
      <c r="B92" t="s">
        <v>186</v>
      </c>
      <c r="C92" s="1">
        <v>169</v>
      </c>
      <c r="D92" s="1" t="s">
        <v>43</v>
      </c>
      <c r="E92" s="1">
        <v>169</v>
      </c>
      <c r="F92" s="1">
        <v>100</v>
      </c>
      <c r="G92" s="1" t="s">
        <v>187</v>
      </c>
      <c r="H92" s="1">
        <v>66</v>
      </c>
      <c r="J92" s="1">
        <v>169</v>
      </c>
      <c r="K92" s="3">
        <f t="shared" si="2"/>
        <v>100</v>
      </c>
    </row>
    <row r="93" spans="1:11" x14ac:dyDescent="0.2">
      <c r="A93">
        <v>92</v>
      </c>
      <c r="B93" t="s">
        <v>188</v>
      </c>
      <c r="C93" s="1">
        <v>42</v>
      </c>
      <c r="D93" s="1" t="s">
        <v>37</v>
      </c>
      <c r="E93" s="1">
        <v>41</v>
      </c>
      <c r="F93" s="1">
        <v>97.6</v>
      </c>
      <c r="G93" s="1" t="s">
        <v>142</v>
      </c>
      <c r="H93" s="1">
        <v>22</v>
      </c>
      <c r="I93" s="1" t="s">
        <v>189</v>
      </c>
      <c r="J93" s="1">
        <v>41</v>
      </c>
      <c r="K93" s="3">
        <f t="shared" si="2"/>
        <v>97.61904761904762</v>
      </c>
    </row>
    <row r="94" spans="1:11" x14ac:dyDescent="0.2">
      <c r="A94">
        <v>93</v>
      </c>
      <c r="B94" t="s">
        <v>190</v>
      </c>
      <c r="C94" s="1">
        <v>319</v>
      </c>
      <c r="D94" s="1" t="s">
        <v>20</v>
      </c>
      <c r="E94" s="1">
        <v>230</v>
      </c>
      <c r="F94" s="1">
        <v>72.099999999999994</v>
      </c>
      <c r="G94" s="1" t="s">
        <v>159</v>
      </c>
      <c r="H94" s="1">
        <v>67</v>
      </c>
      <c r="I94" s="1" t="s">
        <v>191</v>
      </c>
      <c r="J94" s="2">
        <v>317</v>
      </c>
      <c r="K94" s="3">
        <f t="shared" si="2"/>
        <v>99.373040752351102</v>
      </c>
    </row>
    <row r="95" spans="1:11" x14ac:dyDescent="0.2">
      <c r="A95">
        <v>94</v>
      </c>
      <c r="B95" t="s">
        <v>192</v>
      </c>
      <c r="C95" s="1">
        <v>121</v>
      </c>
      <c r="D95" s="1" t="s">
        <v>43</v>
      </c>
      <c r="E95" s="1">
        <v>118</v>
      </c>
      <c r="F95" s="1">
        <v>97.5</v>
      </c>
      <c r="G95" s="1" t="s">
        <v>193</v>
      </c>
      <c r="H95" s="1">
        <v>73</v>
      </c>
      <c r="I95" s="1" t="s">
        <v>194</v>
      </c>
      <c r="J95" s="1">
        <v>118</v>
      </c>
      <c r="K95" s="3">
        <f t="shared" si="2"/>
        <v>97.52066115702479</v>
      </c>
    </row>
    <row r="96" spans="1:11" x14ac:dyDescent="0.2">
      <c r="A96">
        <v>95</v>
      </c>
      <c r="B96" t="s">
        <v>195</v>
      </c>
      <c r="C96" s="1">
        <v>758</v>
      </c>
      <c r="D96" s="1" t="s">
        <v>196</v>
      </c>
      <c r="E96" s="1">
        <v>755</v>
      </c>
      <c r="F96" s="1">
        <v>99.6</v>
      </c>
      <c r="G96" s="1" t="s">
        <v>197</v>
      </c>
      <c r="H96" s="1">
        <v>449</v>
      </c>
      <c r="I96" s="1" t="s">
        <v>198</v>
      </c>
      <c r="J96" s="1">
        <v>755</v>
      </c>
      <c r="K96" s="3">
        <f t="shared" si="2"/>
        <v>99.604221635883903</v>
      </c>
    </row>
    <row r="97" spans="1:11" x14ac:dyDescent="0.2">
      <c r="A97">
        <v>96</v>
      </c>
      <c r="B97" t="s">
        <v>199</v>
      </c>
      <c r="C97" s="1">
        <v>189</v>
      </c>
      <c r="D97" s="1" t="s">
        <v>130</v>
      </c>
      <c r="E97" s="1">
        <v>171</v>
      </c>
      <c r="F97" s="1">
        <v>90.5</v>
      </c>
      <c r="G97" s="1" t="s">
        <v>153</v>
      </c>
      <c r="H97" s="1">
        <v>101</v>
      </c>
      <c r="I97" s="1" t="s">
        <v>200</v>
      </c>
      <c r="J97" s="2">
        <v>182</v>
      </c>
      <c r="K97" s="3">
        <f t="shared" si="2"/>
        <v>96.296296296296291</v>
      </c>
    </row>
    <row r="98" spans="1:11" x14ac:dyDescent="0.2">
      <c r="A98">
        <v>97</v>
      </c>
      <c r="B98" t="s">
        <v>201</v>
      </c>
      <c r="C98" s="1">
        <v>69</v>
      </c>
      <c r="D98" s="1" t="s">
        <v>118</v>
      </c>
      <c r="E98" s="1">
        <v>68</v>
      </c>
      <c r="F98" s="1">
        <v>98.6</v>
      </c>
      <c r="G98" s="1" t="s">
        <v>202</v>
      </c>
      <c r="H98" s="1">
        <v>40</v>
      </c>
      <c r="I98" s="1" t="s">
        <v>169</v>
      </c>
      <c r="J98" s="1">
        <v>68</v>
      </c>
      <c r="K98" s="3">
        <f t="shared" si="2"/>
        <v>98.550724637681157</v>
      </c>
    </row>
    <row r="99" spans="1:11" x14ac:dyDescent="0.2">
      <c r="A99">
        <v>98</v>
      </c>
      <c r="B99" t="s">
        <v>203</v>
      </c>
      <c r="C99" s="1">
        <v>33</v>
      </c>
      <c r="D99" s="1" t="s">
        <v>83</v>
      </c>
      <c r="E99" s="1">
        <v>33</v>
      </c>
      <c r="F99" s="1">
        <v>100</v>
      </c>
      <c r="G99" s="1" t="s">
        <v>84</v>
      </c>
      <c r="H99" s="1">
        <v>25</v>
      </c>
      <c r="J99" s="1">
        <v>33</v>
      </c>
      <c r="K99" s="3">
        <f t="shared" si="2"/>
        <v>100</v>
      </c>
    </row>
    <row r="100" spans="1:11" x14ac:dyDescent="0.2">
      <c r="A100">
        <v>99</v>
      </c>
      <c r="B100" t="s">
        <v>204</v>
      </c>
      <c r="C100" s="1">
        <v>1</v>
      </c>
      <c r="D100" s="1" t="s">
        <v>51</v>
      </c>
      <c r="E100" s="1">
        <v>1</v>
      </c>
      <c r="F100" s="1">
        <v>100</v>
      </c>
      <c r="G100" s="1" t="s">
        <v>205</v>
      </c>
      <c r="H100" s="1">
        <v>1</v>
      </c>
      <c r="J100" s="1">
        <v>1</v>
      </c>
      <c r="K100" s="3">
        <f t="shared" si="2"/>
        <v>100</v>
      </c>
    </row>
    <row r="101" spans="1:11" x14ac:dyDescent="0.2">
      <c r="A101">
        <v>100</v>
      </c>
      <c r="B101" t="s">
        <v>206</v>
      </c>
      <c r="C101" s="1">
        <v>284</v>
      </c>
      <c r="D101" s="1" t="s">
        <v>43</v>
      </c>
      <c r="E101" s="1">
        <v>283</v>
      </c>
      <c r="F101" s="1">
        <v>99.6</v>
      </c>
      <c r="G101" s="1" t="s">
        <v>156</v>
      </c>
      <c r="H101" s="1">
        <v>237</v>
      </c>
      <c r="I101" s="1" t="s">
        <v>207</v>
      </c>
      <c r="J101" s="1">
        <v>283</v>
      </c>
      <c r="K101" s="3">
        <f t="shared" si="2"/>
        <v>99.647887323943664</v>
      </c>
    </row>
    <row r="102" spans="1:11" x14ac:dyDescent="0.2">
      <c r="A102">
        <v>101</v>
      </c>
      <c r="B102" t="s">
        <v>208</v>
      </c>
      <c r="C102" s="1">
        <v>2</v>
      </c>
      <c r="D102" s="1" t="s">
        <v>37</v>
      </c>
      <c r="E102" s="1">
        <v>2</v>
      </c>
      <c r="F102" s="1">
        <v>100</v>
      </c>
      <c r="G102" s="1" t="s">
        <v>209</v>
      </c>
      <c r="H102" s="1">
        <v>2</v>
      </c>
      <c r="J102" s="1">
        <v>2</v>
      </c>
      <c r="K102" s="3">
        <f t="shared" si="2"/>
        <v>100</v>
      </c>
    </row>
    <row r="103" spans="1:11" x14ac:dyDescent="0.2">
      <c r="A103">
        <v>102</v>
      </c>
      <c r="B103" t="s">
        <v>210</v>
      </c>
      <c r="C103" s="1">
        <v>236</v>
      </c>
      <c r="D103" s="1" t="s">
        <v>51</v>
      </c>
      <c r="E103" s="1">
        <v>236</v>
      </c>
      <c r="F103" s="1">
        <v>100</v>
      </c>
      <c r="G103" s="1" t="s">
        <v>211</v>
      </c>
      <c r="H103" s="1">
        <v>231</v>
      </c>
      <c r="J103" s="1">
        <v>236</v>
      </c>
      <c r="K103" s="3">
        <f t="shared" si="2"/>
        <v>100</v>
      </c>
    </row>
    <row r="104" spans="1:11" x14ac:dyDescent="0.2">
      <c r="A104">
        <v>103</v>
      </c>
      <c r="B104" t="s">
        <v>212</v>
      </c>
      <c r="C104" s="1">
        <v>56</v>
      </c>
      <c r="D104" s="1" t="s">
        <v>20</v>
      </c>
      <c r="E104" s="1">
        <v>55</v>
      </c>
      <c r="F104" s="1">
        <v>98.2</v>
      </c>
      <c r="G104" s="1" t="s">
        <v>21</v>
      </c>
      <c r="H104" s="1">
        <v>55</v>
      </c>
      <c r="I104" s="1" t="s">
        <v>189</v>
      </c>
      <c r="J104" s="1">
        <v>55</v>
      </c>
      <c r="K104" s="3">
        <f t="shared" si="2"/>
        <v>98.214285714285708</v>
      </c>
    </row>
    <row r="105" spans="1:11" x14ac:dyDescent="0.2">
      <c r="A105">
        <v>104</v>
      </c>
      <c r="B105" t="s">
        <v>213</v>
      </c>
      <c r="C105" s="1">
        <v>197</v>
      </c>
      <c r="D105" s="1" t="s">
        <v>130</v>
      </c>
      <c r="E105" s="1">
        <v>182</v>
      </c>
      <c r="F105" s="1">
        <v>92.4</v>
      </c>
      <c r="G105" s="1" t="s">
        <v>131</v>
      </c>
      <c r="H105" s="1">
        <v>139</v>
      </c>
      <c r="I105" s="1" t="s">
        <v>214</v>
      </c>
      <c r="J105" s="2">
        <v>197</v>
      </c>
      <c r="K105" s="3">
        <f t="shared" si="2"/>
        <v>100</v>
      </c>
    </row>
    <row r="106" spans="1:11" x14ac:dyDescent="0.2">
      <c r="A106">
        <v>105</v>
      </c>
      <c r="B106" t="s">
        <v>215</v>
      </c>
      <c r="C106" s="1">
        <v>15</v>
      </c>
      <c r="D106" s="1" t="s">
        <v>37</v>
      </c>
      <c r="E106" s="1">
        <v>15</v>
      </c>
      <c r="F106" s="1">
        <v>100</v>
      </c>
      <c r="G106" s="1" t="s">
        <v>209</v>
      </c>
      <c r="H106" s="1">
        <v>11</v>
      </c>
      <c r="J106" s="1">
        <v>15</v>
      </c>
      <c r="K106" s="3">
        <f t="shared" si="2"/>
        <v>100</v>
      </c>
    </row>
    <row r="107" spans="1:11" x14ac:dyDescent="0.2">
      <c r="A107">
        <v>106</v>
      </c>
      <c r="B107" t="s">
        <v>216</v>
      </c>
      <c r="C107" s="1">
        <v>2</v>
      </c>
      <c r="D107" s="1" t="s">
        <v>37</v>
      </c>
      <c r="E107" s="1">
        <v>2</v>
      </c>
      <c r="F107" s="1">
        <v>100</v>
      </c>
      <c r="G107" s="1" t="s">
        <v>142</v>
      </c>
      <c r="H107" s="1">
        <v>1</v>
      </c>
      <c r="J107" s="1">
        <v>2</v>
      </c>
      <c r="K107" s="3">
        <f t="shared" si="2"/>
        <v>100</v>
      </c>
    </row>
    <row r="108" spans="1:11" x14ac:dyDescent="0.2">
      <c r="A108">
        <v>107</v>
      </c>
      <c r="B108" t="s">
        <v>217</v>
      </c>
      <c r="C108" s="1">
        <v>73</v>
      </c>
      <c r="D108" s="1" t="s">
        <v>37</v>
      </c>
      <c r="E108" s="1">
        <v>73</v>
      </c>
      <c r="F108" s="1">
        <v>100</v>
      </c>
      <c r="G108" s="1" t="s">
        <v>209</v>
      </c>
      <c r="H108" s="1">
        <v>37</v>
      </c>
      <c r="J108" s="1">
        <v>73</v>
      </c>
      <c r="K108" s="3">
        <f t="shared" si="2"/>
        <v>100</v>
      </c>
    </row>
    <row r="109" spans="1:11" x14ac:dyDescent="0.2">
      <c r="A109">
        <v>108</v>
      </c>
      <c r="B109" t="s">
        <v>218</v>
      </c>
      <c r="C109" s="1">
        <v>947</v>
      </c>
      <c r="D109" s="1" t="s">
        <v>47</v>
      </c>
      <c r="E109" s="1">
        <v>947</v>
      </c>
      <c r="F109" s="1">
        <v>100</v>
      </c>
      <c r="G109" s="1" t="s">
        <v>219</v>
      </c>
      <c r="H109" s="1">
        <v>660</v>
      </c>
      <c r="J109" s="1">
        <v>947</v>
      </c>
      <c r="K109" s="3">
        <f t="shared" si="2"/>
        <v>100</v>
      </c>
    </row>
    <row r="110" spans="1:11" x14ac:dyDescent="0.2">
      <c r="A110">
        <v>109</v>
      </c>
      <c r="B110" t="s">
        <v>220</v>
      </c>
      <c r="C110" s="1">
        <v>281</v>
      </c>
      <c r="D110" s="1" t="s">
        <v>20</v>
      </c>
      <c r="E110" s="1">
        <v>255</v>
      </c>
      <c r="F110" s="1">
        <v>90.7</v>
      </c>
      <c r="G110" s="1" t="s">
        <v>221</v>
      </c>
      <c r="H110" s="1">
        <v>133</v>
      </c>
      <c r="I110" s="1" t="s">
        <v>222</v>
      </c>
      <c r="J110" s="2">
        <v>281</v>
      </c>
      <c r="K110" s="3">
        <f t="shared" si="2"/>
        <v>100</v>
      </c>
    </row>
    <row r="111" spans="1:11" x14ac:dyDescent="0.2">
      <c r="A111">
        <v>110</v>
      </c>
      <c r="B111" t="s">
        <v>223</v>
      </c>
      <c r="C111" s="1">
        <v>0</v>
      </c>
      <c r="D111" s="1" t="s">
        <v>539</v>
      </c>
      <c r="E111" s="1" t="s">
        <v>539</v>
      </c>
      <c r="F111" s="1" t="s">
        <v>539</v>
      </c>
      <c r="G111" s="1" t="s">
        <v>539</v>
      </c>
      <c r="H111" s="1" t="s">
        <v>539</v>
      </c>
      <c r="I111" s="1" t="s">
        <v>539</v>
      </c>
      <c r="J111" s="1" t="s">
        <v>539</v>
      </c>
      <c r="K111" s="1" t="s">
        <v>539</v>
      </c>
    </row>
    <row r="112" spans="1:11" x14ac:dyDescent="0.2">
      <c r="A112">
        <v>111</v>
      </c>
      <c r="B112" t="s">
        <v>224</v>
      </c>
      <c r="C112" s="1">
        <v>1100</v>
      </c>
      <c r="D112" s="1" t="s">
        <v>51</v>
      </c>
      <c r="E112" s="1">
        <v>1100</v>
      </c>
      <c r="F112" s="1">
        <v>100</v>
      </c>
      <c r="G112" s="1" t="s">
        <v>211</v>
      </c>
      <c r="H112" s="1">
        <v>1029</v>
      </c>
      <c r="J112" s="1">
        <v>1100</v>
      </c>
      <c r="K112" s="3">
        <f>100*J112/C112</f>
        <v>100</v>
      </c>
    </row>
    <row r="113" spans="1:11" x14ac:dyDescent="0.2">
      <c r="A113">
        <v>112</v>
      </c>
      <c r="B113" t="s">
        <v>225</v>
      </c>
      <c r="C113" s="1">
        <v>0</v>
      </c>
      <c r="D113" s="1" t="s">
        <v>539</v>
      </c>
      <c r="E113" s="1" t="s">
        <v>539</v>
      </c>
      <c r="F113" s="1" t="s">
        <v>539</v>
      </c>
      <c r="G113" s="1" t="s">
        <v>539</v>
      </c>
      <c r="H113" s="1" t="s">
        <v>539</v>
      </c>
      <c r="I113" s="1" t="s">
        <v>539</v>
      </c>
      <c r="J113" s="1" t="s">
        <v>539</v>
      </c>
      <c r="K113" s="1" t="s">
        <v>539</v>
      </c>
    </row>
    <row r="114" spans="1:11" x14ac:dyDescent="0.2">
      <c r="A114">
        <v>113</v>
      </c>
      <c r="B114" t="s">
        <v>226</v>
      </c>
      <c r="C114" s="1">
        <v>2</v>
      </c>
      <c r="D114" s="1" t="s">
        <v>37</v>
      </c>
      <c r="E114" s="1">
        <v>2</v>
      </c>
      <c r="F114" s="1">
        <v>100</v>
      </c>
      <c r="G114" s="1" t="s">
        <v>209</v>
      </c>
      <c r="H114" s="1">
        <v>2</v>
      </c>
      <c r="J114" s="1">
        <v>2</v>
      </c>
      <c r="K114" s="3">
        <f>100*J114/C114</f>
        <v>100</v>
      </c>
    </row>
    <row r="115" spans="1:11" x14ac:dyDescent="0.2">
      <c r="A115">
        <v>114</v>
      </c>
      <c r="B115" t="s">
        <v>227</v>
      </c>
      <c r="C115" s="1">
        <v>0</v>
      </c>
      <c r="D115" s="1" t="s">
        <v>539</v>
      </c>
      <c r="E115" s="1" t="s">
        <v>539</v>
      </c>
      <c r="F115" s="1" t="s">
        <v>539</v>
      </c>
      <c r="G115" s="1" t="s">
        <v>539</v>
      </c>
      <c r="H115" s="1" t="s">
        <v>539</v>
      </c>
      <c r="I115" s="1" t="s">
        <v>539</v>
      </c>
      <c r="J115" s="1" t="s">
        <v>539</v>
      </c>
      <c r="K115" s="1" t="s">
        <v>539</v>
      </c>
    </row>
    <row r="116" spans="1:11" x14ac:dyDescent="0.2">
      <c r="A116">
        <v>115</v>
      </c>
      <c r="B116" t="s">
        <v>228</v>
      </c>
      <c r="C116" s="1">
        <v>85</v>
      </c>
      <c r="D116" s="1" t="s">
        <v>86</v>
      </c>
      <c r="E116" s="1">
        <v>80</v>
      </c>
      <c r="F116" s="1">
        <v>94.1</v>
      </c>
      <c r="G116" s="1" t="s">
        <v>168</v>
      </c>
      <c r="H116" s="1">
        <v>36</v>
      </c>
      <c r="I116" s="1" t="s">
        <v>229</v>
      </c>
      <c r="J116" s="2">
        <v>85</v>
      </c>
      <c r="K116" s="3">
        <f t="shared" ref="K116:K122" si="3">100*J116/C116</f>
        <v>100</v>
      </c>
    </row>
    <row r="117" spans="1:11" x14ac:dyDescent="0.2">
      <c r="A117">
        <v>116</v>
      </c>
      <c r="B117" t="s">
        <v>230</v>
      </c>
      <c r="C117" s="1">
        <v>18</v>
      </c>
      <c r="D117" s="1" t="s">
        <v>20</v>
      </c>
      <c r="E117" s="1">
        <v>18</v>
      </c>
      <c r="F117" s="1">
        <v>100</v>
      </c>
      <c r="G117" s="1" t="s">
        <v>21</v>
      </c>
      <c r="H117" s="1">
        <v>16</v>
      </c>
      <c r="J117" s="1">
        <v>18</v>
      </c>
      <c r="K117" s="3">
        <f t="shared" si="3"/>
        <v>100</v>
      </c>
    </row>
    <row r="118" spans="1:11" x14ac:dyDescent="0.2">
      <c r="A118">
        <v>117</v>
      </c>
      <c r="B118" t="s">
        <v>231</v>
      </c>
      <c r="C118" s="1">
        <v>5</v>
      </c>
      <c r="D118" s="1" t="s">
        <v>130</v>
      </c>
      <c r="E118" s="1">
        <v>5</v>
      </c>
      <c r="F118" s="1">
        <v>100</v>
      </c>
      <c r="G118" s="1" t="s">
        <v>232</v>
      </c>
      <c r="H118" s="1">
        <v>3</v>
      </c>
      <c r="J118" s="1">
        <v>5</v>
      </c>
      <c r="K118" s="3">
        <f t="shared" si="3"/>
        <v>100</v>
      </c>
    </row>
    <row r="119" spans="1:11" x14ac:dyDescent="0.2">
      <c r="A119">
        <v>118</v>
      </c>
      <c r="B119" t="s">
        <v>233</v>
      </c>
      <c r="C119" s="1">
        <v>5</v>
      </c>
      <c r="D119" s="1" t="s">
        <v>51</v>
      </c>
      <c r="E119" s="1">
        <v>5</v>
      </c>
      <c r="F119" s="1">
        <v>100</v>
      </c>
      <c r="G119" s="1" t="s">
        <v>211</v>
      </c>
      <c r="H119" s="1">
        <v>5</v>
      </c>
      <c r="J119" s="1">
        <v>5</v>
      </c>
      <c r="K119" s="3">
        <f t="shared" si="3"/>
        <v>100</v>
      </c>
    </row>
    <row r="120" spans="1:11" x14ac:dyDescent="0.2">
      <c r="A120">
        <v>119</v>
      </c>
      <c r="B120" t="s">
        <v>234</v>
      </c>
      <c r="C120" s="1">
        <v>129</v>
      </c>
      <c r="D120" s="1" t="s">
        <v>20</v>
      </c>
      <c r="E120" s="1">
        <v>127</v>
      </c>
      <c r="F120" s="1">
        <v>98.4</v>
      </c>
      <c r="G120" s="1" t="s">
        <v>235</v>
      </c>
      <c r="H120" s="1">
        <v>79</v>
      </c>
      <c r="I120" s="1" t="s">
        <v>236</v>
      </c>
      <c r="J120" s="2">
        <v>129</v>
      </c>
      <c r="K120" s="3">
        <f t="shared" si="3"/>
        <v>100</v>
      </c>
    </row>
    <row r="121" spans="1:11" x14ac:dyDescent="0.2">
      <c r="A121">
        <v>120</v>
      </c>
      <c r="B121" t="s">
        <v>237</v>
      </c>
      <c r="C121" s="1">
        <v>994</v>
      </c>
      <c r="D121" s="1" t="s">
        <v>51</v>
      </c>
      <c r="E121" s="1">
        <v>994</v>
      </c>
      <c r="F121" s="1">
        <v>100</v>
      </c>
      <c r="G121" s="1" t="s">
        <v>211</v>
      </c>
      <c r="H121" s="1">
        <v>922</v>
      </c>
      <c r="J121" s="1">
        <v>994</v>
      </c>
      <c r="K121" s="3">
        <f t="shared" si="3"/>
        <v>100</v>
      </c>
    </row>
    <row r="122" spans="1:11" x14ac:dyDescent="0.2">
      <c r="A122">
        <v>121</v>
      </c>
      <c r="B122" t="s">
        <v>238</v>
      </c>
      <c r="C122" s="1">
        <v>180</v>
      </c>
      <c r="D122" s="1" t="s">
        <v>130</v>
      </c>
      <c r="E122" s="1">
        <v>160</v>
      </c>
      <c r="F122" s="1">
        <v>88.9</v>
      </c>
      <c r="G122" s="1" t="s">
        <v>239</v>
      </c>
      <c r="H122" s="1">
        <v>84</v>
      </c>
      <c r="I122" s="1" t="s">
        <v>240</v>
      </c>
      <c r="J122" s="2">
        <v>180</v>
      </c>
      <c r="K122" s="3">
        <f t="shared" si="3"/>
        <v>100</v>
      </c>
    </row>
    <row r="123" spans="1:11" x14ac:dyDescent="0.2">
      <c r="A123">
        <v>122</v>
      </c>
      <c r="B123" t="s">
        <v>241</v>
      </c>
      <c r="C123" s="1">
        <v>0</v>
      </c>
      <c r="D123" s="1" t="s">
        <v>539</v>
      </c>
      <c r="E123" s="1" t="s">
        <v>539</v>
      </c>
      <c r="F123" s="1" t="s">
        <v>539</v>
      </c>
      <c r="G123" s="1" t="s">
        <v>539</v>
      </c>
      <c r="H123" s="1" t="s">
        <v>539</v>
      </c>
      <c r="I123" s="1" t="s">
        <v>539</v>
      </c>
      <c r="J123" s="1" t="s">
        <v>539</v>
      </c>
      <c r="K123" s="1" t="s">
        <v>539</v>
      </c>
    </row>
    <row r="124" spans="1:11" x14ac:dyDescent="0.2">
      <c r="A124">
        <v>123</v>
      </c>
      <c r="B124" t="s">
        <v>242</v>
      </c>
      <c r="C124" s="1">
        <v>3</v>
      </c>
      <c r="D124" s="1" t="s">
        <v>51</v>
      </c>
      <c r="E124" s="1">
        <v>3</v>
      </c>
      <c r="F124" s="1">
        <v>100</v>
      </c>
      <c r="G124" s="1" t="s">
        <v>211</v>
      </c>
      <c r="H124" s="1">
        <v>3</v>
      </c>
      <c r="J124" s="1">
        <v>3</v>
      </c>
      <c r="K124" s="3">
        <f>100*J124/C124</f>
        <v>100</v>
      </c>
    </row>
    <row r="125" spans="1:11" x14ac:dyDescent="0.2">
      <c r="A125">
        <v>124</v>
      </c>
      <c r="B125" t="s">
        <v>243</v>
      </c>
      <c r="C125" s="1">
        <v>101</v>
      </c>
      <c r="D125" s="1" t="s">
        <v>51</v>
      </c>
      <c r="E125" s="1">
        <v>100</v>
      </c>
      <c r="F125" s="1">
        <v>99</v>
      </c>
      <c r="G125" s="1" t="s">
        <v>211</v>
      </c>
      <c r="H125" s="1">
        <v>98</v>
      </c>
      <c r="I125" s="1" t="s">
        <v>189</v>
      </c>
      <c r="J125" s="1">
        <v>100</v>
      </c>
      <c r="K125" s="3">
        <f>100*J125/C125</f>
        <v>99.009900990099013</v>
      </c>
    </row>
    <row r="126" spans="1:11" x14ac:dyDescent="0.2">
      <c r="A126">
        <v>125</v>
      </c>
      <c r="B126" t="s">
        <v>244</v>
      </c>
      <c r="C126" s="1">
        <v>14</v>
      </c>
      <c r="D126" s="1" t="s">
        <v>47</v>
      </c>
      <c r="E126" s="1">
        <v>14</v>
      </c>
      <c r="F126" s="1">
        <v>100</v>
      </c>
      <c r="G126" s="1" t="s">
        <v>162</v>
      </c>
      <c r="H126" s="1">
        <v>14</v>
      </c>
      <c r="J126" s="1">
        <v>14</v>
      </c>
      <c r="K126" s="3">
        <f>100*J126/C126</f>
        <v>100</v>
      </c>
    </row>
    <row r="127" spans="1:11" x14ac:dyDescent="0.2">
      <c r="A127">
        <v>126</v>
      </c>
      <c r="B127" t="s">
        <v>245</v>
      </c>
      <c r="C127" s="1">
        <v>0</v>
      </c>
      <c r="D127" s="1" t="s">
        <v>539</v>
      </c>
      <c r="E127" s="1" t="s">
        <v>539</v>
      </c>
      <c r="F127" s="1" t="s">
        <v>539</v>
      </c>
      <c r="G127" s="1" t="s">
        <v>539</v>
      </c>
      <c r="H127" s="1" t="s">
        <v>539</v>
      </c>
      <c r="I127" s="1" t="s">
        <v>539</v>
      </c>
      <c r="J127" s="1" t="s">
        <v>539</v>
      </c>
      <c r="K127" s="1" t="s">
        <v>539</v>
      </c>
    </row>
    <row r="128" spans="1:11" x14ac:dyDescent="0.2">
      <c r="A128">
        <v>127</v>
      </c>
      <c r="B128" t="s">
        <v>246</v>
      </c>
      <c r="C128" s="1">
        <v>295</v>
      </c>
      <c r="D128" s="1" t="s">
        <v>83</v>
      </c>
      <c r="E128" s="1">
        <v>295</v>
      </c>
      <c r="F128" s="1">
        <v>100</v>
      </c>
      <c r="G128" s="1" t="s">
        <v>84</v>
      </c>
      <c r="H128" s="1">
        <v>286</v>
      </c>
      <c r="J128" s="1">
        <v>295</v>
      </c>
      <c r="K128" s="3">
        <f>100*J128/C128</f>
        <v>100</v>
      </c>
    </row>
    <row r="129" spans="1:11" x14ac:dyDescent="0.2">
      <c r="A129">
        <v>128</v>
      </c>
      <c r="B129" t="s">
        <v>247</v>
      </c>
      <c r="C129" s="1">
        <v>277</v>
      </c>
      <c r="D129" s="1" t="s">
        <v>20</v>
      </c>
      <c r="E129" s="1">
        <v>264</v>
      </c>
      <c r="F129" s="1">
        <v>95.3</v>
      </c>
      <c r="G129" s="1" t="s">
        <v>235</v>
      </c>
      <c r="H129" s="1">
        <v>163</v>
      </c>
      <c r="I129" s="1" t="s">
        <v>248</v>
      </c>
      <c r="J129" s="2">
        <v>277</v>
      </c>
      <c r="K129" s="3">
        <f>100*J129/C129</f>
        <v>100</v>
      </c>
    </row>
    <row r="130" spans="1:11" x14ac:dyDescent="0.2">
      <c r="A130">
        <v>129</v>
      </c>
      <c r="B130" t="s">
        <v>249</v>
      </c>
      <c r="C130" s="1">
        <v>37</v>
      </c>
      <c r="D130" s="1" t="s">
        <v>51</v>
      </c>
      <c r="E130" s="1">
        <v>37</v>
      </c>
      <c r="F130" s="1">
        <v>100</v>
      </c>
      <c r="G130" s="1" t="s">
        <v>211</v>
      </c>
      <c r="H130" s="1">
        <v>37</v>
      </c>
      <c r="J130" s="1">
        <v>37</v>
      </c>
      <c r="K130" s="3">
        <f>100*J130/C130</f>
        <v>100</v>
      </c>
    </row>
    <row r="131" spans="1:11" x14ac:dyDescent="0.2">
      <c r="A131">
        <v>130</v>
      </c>
      <c r="B131" t="s">
        <v>250</v>
      </c>
      <c r="C131" s="1">
        <v>1694</v>
      </c>
      <c r="D131" s="1" t="s">
        <v>51</v>
      </c>
      <c r="E131" s="1">
        <v>1694</v>
      </c>
      <c r="F131" s="1">
        <v>100</v>
      </c>
      <c r="G131" s="1" t="s">
        <v>211</v>
      </c>
      <c r="H131" s="1">
        <v>1596</v>
      </c>
      <c r="J131" s="1">
        <v>1694</v>
      </c>
      <c r="K131" s="3">
        <f>100*J131/C131</f>
        <v>100</v>
      </c>
    </row>
    <row r="132" spans="1:11" x14ac:dyDescent="0.2">
      <c r="A132">
        <v>131</v>
      </c>
      <c r="B132" t="s">
        <v>251</v>
      </c>
      <c r="C132" s="1">
        <v>0</v>
      </c>
      <c r="D132" s="1" t="s">
        <v>539</v>
      </c>
      <c r="E132" s="1" t="s">
        <v>539</v>
      </c>
      <c r="F132" s="1" t="s">
        <v>539</v>
      </c>
      <c r="G132" s="1" t="s">
        <v>539</v>
      </c>
      <c r="H132" s="1" t="s">
        <v>539</v>
      </c>
      <c r="I132" s="1" t="s">
        <v>539</v>
      </c>
      <c r="J132" s="1" t="s">
        <v>539</v>
      </c>
      <c r="K132" s="1" t="s">
        <v>539</v>
      </c>
    </row>
    <row r="133" spans="1:11" x14ac:dyDescent="0.2">
      <c r="A133">
        <v>132</v>
      </c>
      <c r="B133" t="s">
        <v>252</v>
      </c>
      <c r="C133" s="1">
        <v>47</v>
      </c>
      <c r="D133" s="1" t="s">
        <v>43</v>
      </c>
      <c r="E133" s="1">
        <v>47</v>
      </c>
      <c r="F133" s="1">
        <v>100</v>
      </c>
      <c r="G133" s="1" t="s">
        <v>156</v>
      </c>
      <c r="H133" s="1">
        <v>41</v>
      </c>
      <c r="J133" s="1">
        <v>47</v>
      </c>
      <c r="K133" s="3">
        <f t="shared" ref="K133:K148" si="4">100*J133/C133</f>
        <v>100</v>
      </c>
    </row>
    <row r="134" spans="1:11" x14ac:dyDescent="0.2">
      <c r="A134">
        <v>133</v>
      </c>
      <c r="B134" t="s">
        <v>253</v>
      </c>
      <c r="C134" s="1">
        <v>371</v>
      </c>
      <c r="D134" s="1" t="s">
        <v>51</v>
      </c>
      <c r="E134" s="1">
        <v>371</v>
      </c>
      <c r="F134" s="1">
        <v>100</v>
      </c>
      <c r="G134" s="1" t="s">
        <v>211</v>
      </c>
      <c r="H134" s="1">
        <v>347</v>
      </c>
      <c r="J134" s="1">
        <v>371</v>
      </c>
      <c r="K134" s="3">
        <f t="shared" si="4"/>
        <v>100</v>
      </c>
    </row>
    <row r="135" spans="1:11" x14ac:dyDescent="0.2">
      <c r="A135">
        <v>134</v>
      </c>
      <c r="B135" t="s">
        <v>254</v>
      </c>
      <c r="C135" s="1">
        <v>272</v>
      </c>
      <c r="D135" s="1" t="s">
        <v>43</v>
      </c>
      <c r="E135" s="1">
        <v>272</v>
      </c>
      <c r="F135" s="1">
        <v>100</v>
      </c>
      <c r="G135" s="1" t="s">
        <v>156</v>
      </c>
      <c r="H135" s="1">
        <v>249</v>
      </c>
      <c r="J135" s="1">
        <v>272</v>
      </c>
      <c r="K135" s="3">
        <f t="shared" si="4"/>
        <v>100</v>
      </c>
    </row>
    <row r="136" spans="1:11" x14ac:dyDescent="0.2">
      <c r="A136">
        <v>135</v>
      </c>
      <c r="B136" t="s">
        <v>255</v>
      </c>
      <c r="C136" s="1">
        <v>114</v>
      </c>
      <c r="D136" s="1" t="s">
        <v>51</v>
      </c>
      <c r="E136" s="1">
        <v>114</v>
      </c>
      <c r="F136" s="1">
        <v>100</v>
      </c>
      <c r="G136" s="1" t="s">
        <v>211</v>
      </c>
      <c r="H136" s="1">
        <v>111</v>
      </c>
      <c r="J136" s="1">
        <v>114</v>
      </c>
      <c r="K136" s="3">
        <f t="shared" si="4"/>
        <v>100</v>
      </c>
    </row>
    <row r="137" spans="1:11" x14ac:dyDescent="0.2">
      <c r="A137">
        <v>136</v>
      </c>
      <c r="B137" t="s">
        <v>256</v>
      </c>
      <c r="C137" s="1">
        <v>419</v>
      </c>
      <c r="D137" s="1" t="s">
        <v>51</v>
      </c>
      <c r="E137" s="1">
        <v>419</v>
      </c>
      <c r="F137" s="1">
        <v>100</v>
      </c>
      <c r="G137" s="1" t="s">
        <v>211</v>
      </c>
      <c r="H137" s="1">
        <v>392</v>
      </c>
      <c r="J137" s="1">
        <v>419</v>
      </c>
      <c r="K137" s="3">
        <f t="shared" si="4"/>
        <v>100</v>
      </c>
    </row>
    <row r="138" spans="1:11" x14ac:dyDescent="0.2">
      <c r="A138">
        <v>137</v>
      </c>
      <c r="B138" t="s">
        <v>257</v>
      </c>
      <c r="C138" s="1">
        <v>5</v>
      </c>
      <c r="D138" s="1" t="s">
        <v>51</v>
      </c>
      <c r="E138" s="1">
        <v>5</v>
      </c>
      <c r="F138" s="1">
        <v>100</v>
      </c>
      <c r="G138" s="1" t="s">
        <v>211</v>
      </c>
      <c r="H138" s="1">
        <v>5</v>
      </c>
      <c r="J138" s="1">
        <v>5</v>
      </c>
      <c r="K138" s="3">
        <f t="shared" si="4"/>
        <v>100</v>
      </c>
    </row>
    <row r="139" spans="1:11" x14ac:dyDescent="0.2">
      <c r="A139">
        <v>138</v>
      </c>
      <c r="B139" t="s">
        <v>258</v>
      </c>
      <c r="C139" s="1">
        <v>1075</v>
      </c>
      <c r="D139" s="1" t="s">
        <v>130</v>
      </c>
      <c r="E139" s="1">
        <v>1047</v>
      </c>
      <c r="F139" s="1">
        <v>97.4</v>
      </c>
      <c r="G139" s="1" t="s">
        <v>131</v>
      </c>
      <c r="H139" s="1">
        <v>910</v>
      </c>
      <c r="I139" s="1" t="s">
        <v>259</v>
      </c>
      <c r="J139" s="2">
        <v>1075</v>
      </c>
      <c r="K139" s="3">
        <f t="shared" si="4"/>
        <v>100</v>
      </c>
    </row>
    <row r="140" spans="1:11" x14ac:dyDescent="0.2">
      <c r="A140">
        <v>139</v>
      </c>
      <c r="B140" t="s">
        <v>260</v>
      </c>
      <c r="C140" s="1">
        <v>138</v>
      </c>
      <c r="D140" s="1" t="s">
        <v>20</v>
      </c>
      <c r="E140" s="1">
        <v>138</v>
      </c>
      <c r="F140" s="1">
        <v>100</v>
      </c>
      <c r="G140" s="1" t="s">
        <v>21</v>
      </c>
      <c r="H140" s="1">
        <v>137</v>
      </c>
      <c r="J140" s="1">
        <v>138</v>
      </c>
      <c r="K140" s="3">
        <f t="shared" si="4"/>
        <v>100</v>
      </c>
    </row>
    <row r="141" spans="1:11" x14ac:dyDescent="0.2">
      <c r="A141">
        <v>140</v>
      </c>
      <c r="B141" t="s">
        <v>261</v>
      </c>
      <c r="C141" s="1">
        <v>586</v>
      </c>
      <c r="D141" s="1" t="s">
        <v>51</v>
      </c>
      <c r="E141" s="1">
        <v>586</v>
      </c>
      <c r="F141" s="1">
        <v>100</v>
      </c>
      <c r="G141" s="1" t="s">
        <v>211</v>
      </c>
      <c r="H141" s="1">
        <v>557</v>
      </c>
      <c r="J141" s="1">
        <v>586</v>
      </c>
      <c r="K141" s="3">
        <f t="shared" si="4"/>
        <v>100</v>
      </c>
    </row>
    <row r="142" spans="1:11" x14ac:dyDescent="0.2">
      <c r="A142">
        <v>141</v>
      </c>
      <c r="B142" t="s">
        <v>262</v>
      </c>
      <c r="C142" s="1">
        <v>496</v>
      </c>
      <c r="D142" s="1" t="s">
        <v>51</v>
      </c>
      <c r="E142" s="1">
        <v>496</v>
      </c>
      <c r="F142" s="1">
        <v>100</v>
      </c>
      <c r="G142" s="1" t="s">
        <v>211</v>
      </c>
      <c r="H142" s="1">
        <v>463</v>
      </c>
      <c r="J142" s="1">
        <v>496</v>
      </c>
      <c r="K142" s="3">
        <f t="shared" si="4"/>
        <v>100</v>
      </c>
    </row>
    <row r="143" spans="1:11" x14ac:dyDescent="0.2">
      <c r="A143">
        <v>142</v>
      </c>
      <c r="B143" t="s">
        <v>263</v>
      </c>
      <c r="C143" s="1">
        <v>60</v>
      </c>
      <c r="D143" s="1" t="s">
        <v>51</v>
      </c>
      <c r="E143" s="1">
        <v>60</v>
      </c>
      <c r="F143" s="1">
        <v>100</v>
      </c>
      <c r="G143" s="1" t="s">
        <v>211</v>
      </c>
      <c r="H143" s="1">
        <v>60</v>
      </c>
      <c r="J143" s="1">
        <v>60</v>
      </c>
      <c r="K143" s="3">
        <f t="shared" si="4"/>
        <v>100</v>
      </c>
    </row>
    <row r="144" spans="1:11" x14ac:dyDescent="0.2">
      <c r="A144">
        <v>143</v>
      </c>
      <c r="B144" t="s">
        <v>264</v>
      </c>
      <c r="C144" s="1">
        <v>231</v>
      </c>
      <c r="D144" s="1" t="s">
        <v>86</v>
      </c>
      <c r="E144" s="1">
        <v>231</v>
      </c>
      <c r="F144" s="1">
        <v>100</v>
      </c>
      <c r="G144" s="1" t="s">
        <v>97</v>
      </c>
      <c r="H144" s="1">
        <v>108</v>
      </c>
      <c r="J144" s="1">
        <v>231</v>
      </c>
      <c r="K144" s="3">
        <f t="shared" si="4"/>
        <v>100</v>
      </c>
    </row>
    <row r="145" spans="1:11" x14ac:dyDescent="0.2">
      <c r="A145">
        <v>144</v>
      </c>
      <c r="B145" t="s">
        <v>265</v>
      </c>
      <c r="C145" s="1">
        <v>421</v>
      </c>
      <c r="D145" s="1" t="s">
        <v>51</v>
      </c>
      <c r="E145" s="1">
        <v>421</v>
      </c>
      <c r="F145" s="1">
        <v>100</v>
      </c>
      <c r="G145" s="1" t="s">
        <v>211</v>
      </c>
      <c r="H145" s="1">
        <v>396</v>
      </c>
      <c r="J145" s="1">
        <v>421</v>
      </c>
      <c r="K145" s="3">
        <f t="shared" si="4"/>
        <v>100</v>
      </c>
    </row>
    <row r="146" spans="1:11" x14ac:dyDescent="0.2">
      <c r="A146">
        <v>145</v>
      </c>
      <c r="B146" t="s">
        <v>266</v>
      </c>
      <c r="C146" s="1">
        <v>490</v>
      </c>
      <c r="D146" s="1" t="s">
        <v>51</v>
      </c>
      <c r="E146" s="1">
        <v>490</v>
      </c>
      <c r="F146" s="1">
        <v>100</v>
      </c>
      <c r="G146" s="1" t="s">
        <v>211</v>
      </c>
      <c r="H146" s="1">
        <v>467</v>
      </c>
      <c r="J146" s="1">
        <v>490</v>
      </c>
      <c r="K146" s="3">
        <f t="shared" si="4"/>
        <v>100</v>
      </c>
    </row>
    <row r="147" spans="1:11" x14ac:dyDescent="0.2">
      <c r="A147">
        <v>146</v>
      </c>
      <c r="B147" t="s">
        <v>267</v>
      </c>
      <c r="C147" s="1">
        <v>54</v>
      </c>
      <c r="D147" s="1" t="s">
        <v>43</v>
      </c>
      <c r="E147" s="1">
        <v>54</v>
      </c>
      <c r="F147" s="1">
        <v>100</v>
      </c>
      <c r="G147" s="1" t="s">
        <v>268</v>
      </c>
      <c r="H147" s="1">
        <v>37</v>
      </c>
      <c r="J147" s="1">
        <v>54</v>
      </c>
      <c r="K147" s="3">
        <f t="shared" si="4"/>
        <v>100</v>
      </c>
    </row>
    <row r="148" spans="1:11" x14ac:dyDescent="0.2">
      <c r="A148">
        <v>147</v>
      </c>
      <c r="B148" t="s">
        <v>269</v>
      </c>
      <c r="C148" s="1">
        <v>10</v>
      </c>
      <c r="D148" s="1" t="s">
        <v>130</v>
      </c>
      <c r="E148" s="1">
        <v>10</v>
      </c>
      <c r="F148" s="1">
        <v>100</v>
      </c>
      <c r="G148" s="1" t="s">
        <v>270</v>
      </c>
      <c r="H148" s="1">
        <v>7</v>
      </c>
      <c r="J148" s="1">
        <v>10</v>
      </c>
      <c r="K148" s="3">
        <f t="shared" si="4"/>
        <v>100</v>
      </c>
    </row>
    <row r="149" spans="1:11" x14ac:dyDescent="0.2">
      <c r="A149">
        <v>148</v>
      </c>
      <c r="B149" t="s">
        <v>271</v>
      </c>
      <c r="C149" s="1">
        <v>0</v>
      </c>
      <c r="D149" s="1" t="s">
        <v>539</v>
      </c>
      <c r="E149" s="1" t="s">
        <v>539</v>
      </c>
      <c r="F149" s="1" t="s">
        <v>539</v>
      </c>
      <c r="G149" s="1" t="s">
        <v>539</v>
      </c>
      <c r="H149" s="1" t="s">
        <v>539</v>
      </c>
      <c r="I149" s="1" t="s">
        <v>539</v>
      </c>
      <c r="J149" s="1" t="s">
        <v>539</v>
      </c>
      <c r="K149" s="1" t="s">
        <v>539</v>
      </c>
    </row>
    <row r="150" spans="1:11" x14ac:dyDescent="0.2">
      <c r="A150">
        <v>149</v>
      </c>
      <c r="B150" t="s">
        <v>272</v>
      </c>
      <c r="C150" s="1">
        <v>8</v>
      </c>
      <c r="D150" s="1" t="s">
        <v>51</v>
      </c>
      <c r="E150" s="1">
        <v>8</v>
      </c>
      <c r="F150" s="1">
        <v>100</v>
      </c>
      <c r="G150" s="1" t="s">
        <v>211</v>
      </c>
      <c r="H150" s="1">
        <v>8</v>
      </c>
      <c r="J150" s="1">
        <v>8</v>
      </c>
      <c r="K150" s="3">
        <f>100*J150/C150</f>
        <v>100</v>
      </c>
    </row>
    <row r="151" spans="1:11" x14ac:dyDescent="0.2">
      <c r="A151">
        <v>150</v>
      </c>
      <c r="B151" t="s">
        <v>273</v>
      </c>
      <c r="C151" s="1">
        <v>1</v>
      </c>
      <c r="D151" s="1" t="s">
        <v>130</v>
      </c>
      <c r="E151" s="1">
        <v>1</v>
      </c>
      <c r="F151" s="1">
        <v>100</v>
      </c>
      <c r="G151" s="1" t="s">
        <v>153</v>
      </c>
      <c r="H151" s="1">
        <v>1</v>
      </c>
      <c r="J151" s="1">
        <v>1</v>
      </c>
      <c r="K151" s="3">
        <f>100*J151/C151</f>
        <v>100</v>
      </c>
    </row>
    <row r="152" spans="1:11" x14ac:dyDescent="0.2">
      <c r="A152">
        <v>151</v>
      </c>
      <c r="B152" t="s">
        <v>274</v>
      </c>
      <c r="C152" s="1">
        <v>161</v>
      </c>
      <c r="D152" s="1" t="s">
        <v>86</v>
      </c>
      <c r="E152" s="1">
        <v>161</v>
      </c>
      <c r="F152" s="1">
        <v>100</v>
      </c>
      <c r="G152" s="1" t="s">
        <v>97</v>
      </c>
      <c r="H152" s="1">
        <v>89</v>
      </c>
      <c r="J152" s="1">
        <v>161</v>
      </c>
      <c r="K152" s="3">
        <f>100*J152/C152</f>
        <v>100</v>
      </c>
    </row>
    <row r="153" spans="1:11" x14ac:dyDescent="0.2">
      <c r="A153">
        <v>152</v>
      </c>
      <c r="B153" t="s">
        <v>275</v>
      </c>
      <c r="C153" s="1">
        <v>723</v>
      </c>
      <c r="D153" s="1" t="s">
        <v>43</v>
      </c>
      <c r="E153" s="1">
        <v>721</v>
      </c>
      <c r="F153" s="1">
        <v>99.7</v>
      </c>
      <c r="G153" s="1" t="s">
        <v>156</v>
      </c>
      <c r="H153" s="1">
        <v>659</v>
      </c>
      <c r="I153" s="1" t="s">
        <v>276</v>
      </c>
      <c r="J153" s="2">
        <v>723</v>
      </c>
      <c r="K153" s="3">
        <f>100*J153/C153</f>
        <v>100</v>
      </c>
    </row>
    <row r="154" spans="1:11" x14ac:dyDescent="0.2">
      <c r="A154">
        <v>153</v>
      </c>
      <c r="B154" t="s">
        <v>277</v>
      </c>
      <c r="C154" s="1">
        <v>0</v>
      </c>
      <c r="D154" s="1" t="s">
        <v>539</v>
      </c>
      <c r="E154" s="1" t="s">
        <v>539</v>
      </c>
      <c r="F154" s="1" t="s">
        <v>539</v>
      </c>
      <c r="G154" s="1" t="s">
        <v>539</v>
      </c>
      <c r="H154" s="1" t="s">
        <v>539</v>
      </c>
      <c r="I154" s="1" t="s">
        <v>539</v>
      </c>
      <c r="J154" s="1" t="s">
        <v>539</v>
      </c>
      <c r="K154" s="1" t="s">
        <v>539</v>
      </c>
    </row>
    <row r="155" spans="1:11" x14ac:dyDescent="0.2">
      <c r="A155">
        <v>154</v>
      </c>
      <c r="B155" t="s">
        <v>278</v>
      </c>
      <c r="C155" s="1">
        <v>6</v>
      </c>
      <c r="D155" s="1" t="s">
        <v>136</v>
      </c>
      <c r="E155" s="1">
        <v>6</v>
      </c>
      <c r="F155" s="1">
        <v>100</v>
      </c>
      <c r="G155" s="1" t="s">
        <v>279</v>
      </c>
      <c r="H155" s="1">
        <v>4</v>
      </c>
      <c r="J155" s="1">
        <v>6</v>
      </c>
      <c r="K155" s="3">
        <f t="shared" ref="K155:K161" si="5">100*J155/C155</f>
        <v>100</v>
      </c>
    </row>
    <row r="156" spans="1:11" x14ac:dyDescent="0.2">
      <c r="A156">
        <v>155</v>
      </c>
      <c r="B156" t="s">
        <v>280</v>
      </c>
      <c r="C156" s="1">
        <v>14</v>
      </c>
      <c r="D156" s="1" t="s">
        <v>51</v>
      </c>
      <c r="E156" s="1">
        <v>14</v>
      </c>
      <c r="F156" s="1">
        <v>100</v>
      </c>
      <c r="G156" s="1" t="s">
        <v>211</v>
      </c>
      <c r="H156" s="1">
        <v>14</v>
      </c>
      <c r="J156" s="1">
        <v>14</v>
      </c>
      <c r="K156" s="3">
        <f t="shared" si="5"/>
        <v>100</v>
      </c>
    </row>
    <row r="157" spans="1:11" x14ac:dyDescent="0.2">
      <c r="A157">
        <v>156</v>
      </c>
      <c r="B157" t="s">
        <v>281</v>
      </c>
      <c r="C157" s="1">
        <v>6</v>
      </c>
      <c r="D157" s="1" t="s">
        <v>51</v>
      </c>
      <c r="E157" s="1">
        <v>6</v>
      </c>
      <c r="F157" s="1">
        <v>100</v>
      </c>
      <c r="G157" s="1" t="s">
        <v>211</v>
      </c>
      <c r="H157" s="1">
        <v>6</v>
      </c>
      <c r="J157" s="1">
        <v>6</v>
      </c>
      <c r="K157" s="3">
        <f t="shared" si="5"/>
        <v>100</v>
      </c>
    </row>
    <row r="158" spans="1:11" x14ac:dyDescent="0.2">
      <c r="A158">
        <v>157</v>
      </c>
      <c r="B158" t="s">
        <v>282</v>
      </c>
      <c r="C158" s="1">
        <v>1</v>
      </c>
      <c r="D158" s="1" t="s">
        <v>283</v>
      </c>
      <c r="E158" s="1">
        <v>1</v>
      </c>
      <c r="F158" s="1">
        <v>100</v>
      </c>
      <c r="G158" s="1" t="s">
        <v>284</v>
      </c>
      <c r="H158" s="1">
        <v>1</v>
      </c>
      <c r="J158" s="1">
        <v>1</v>
      </c>
      <c r="K158" s="3">
        <f t="shared" si="5"/>
        <v>100</v>
      </c>
    </row>
    <row r="159" spans="1:11" x14ac:dyDescent="0.2">
      <c r="A159">
        <v>158</v>
      </c>
      <c r="B159" t="s">
        <v>285</v>
      </c>
      <c r="C159" s="1">
        <v>7</v>
      </c>
      <c r="D159" s="1" t="s">
        <v>43</v>
      </c>
      <c r="E159" s="1">
        <v>7</v>
      </c>
      <c r="F159" s="1">
        <v>100</v>
      </c>
      <c r="G159" s="1" t="s">
        <v>156</v>
      </c>
      <c r="H159" s="1">
        <v>5</v>
      </c>
      <c r="J159" s="1">
        <v>7</v>
      </c>
      <c r="K159" s="3">
        <f t="shared" si="5"/>
        <v>100</v>
      </c>
    </row>
    <row r="160" spans="1:11" x14ac:dyDescent="0.2">
      <c r="A160">
        <v>159</v>
      </c>
      <c r="B160" t="s">
        <v>286</v>
      </c>
      <c r="C160" s="1">
        <v>41</v>
      </c>
      <c r="D160" s="1" t="s">
        <v>51</v>
      </c>
      <c r="E160" s="1">
        <v>41</v>
      </c>
      <c r="F160" s="1">
        <v>100</v>
      </c>
      <c r="G160" s="1" t="s">
        <v>211</v>
      </c>
      <c r="H160" s="1">
        <v>40</v>
      </c>
      <c r="J160" s="1">
        <v>41</v>
      </c>
      <c r="K160" s="3">
        <f t="shared" si="5"/>
        <v>100</v>
      </c>
    </row>
    <row r="161" spans="1:11" x14ac:dyDescent="0.2">
      <c r="A161">
        <v>160</v>
      </c>
      <c r="B161" t="s">
        <v>287</v>
      </c>
      <c r="C161" s="1">
        <v>193</v>
      </c>
      <c r="D161" s="1" t="s">
        <v>51</v>
      </c>
      <c r="E161" s="1">
        <v>193</v>
      </c>
      <c r="F161" s="1">
        <v>100</v>
      </c>
      <c r="G161" s="1" t="s">
        <v>211</v>
      </c>
      <c r="H161" s="1">
        <v>186</v>
      </c>
      <c r="J161" s="1">
        <v>193</v>
      </c>
      <c r="K161" s="3">
        <f t="shared" si="5"/>
        <v>100</v>
      </c>
    </row>
    <row r="162" spans="1:11" x14ac:dyDescent="0.2">
      <c r="A162">
        <v>161</v>
      </c>
      <c r="B162" t="s">
        <v>288</v>
      </c>
      <c r="C162" s="1">
        <v>0</v>
      </c>
      <c r="D162" s="1" t="s">
        <v>539</v>
      </c>
      <c r="E162" s="1" t="s">
        <v>539</v>
      </c>
      <c r="F162" s="1" t="s">
        <v>539</v>
      </c>
      <c r="G162" s="1" t="s">
        <v>539</v>
      </c>
      <c r="H162" s="1" t="s">
        <v>539</v>
      </c>
      <c r="I162" s="1" t="s">
        <v>539</v>
      </c>
      <c r="J162" s="1" t="s">
        <v>539</v>
      </c>
      <c r="K162" s="1" t="s">
        <v>539</v>
      </c>
    </row>
    <row r="163" spans="1:11" x14ac:dyDescent="0.2">
      <c r="A163">
        <v>162</v>
      </c>
      <c r="B163" t="s">
        <v>289</v>
      </c>
      <c r="C163" s="1">
        <v>0</v>
      </c>
      <c r="D163" s="1" t="s">
        <v>539</v>
      </c>
      <c r="E163" s="1" t="s">
        <v>539</v>
      </c>
      <c r="F163" s="1" t="s">
        <v>539</v>
      </c>
      <c r="G163" s="1" t="s">
        <v>539</v>
      </c>
      <c r="H163" s="1" t="s">
        <v>539</v>
      </c>
      <c r="I163" s="1" t="s">
        <v>539</v>
      </c>
      <c r="J163" s="1" t="s">
        <v>539</v>
      </c>
      <c r="K163" s="1" t="s">
        <v>539</v>
      </c>
    </row>
    <row r="164" spans="1:11" x14ac:dyDescent="0.2">
      <c r="A164">
        <v>163</v>
      </c>
      <c r="B164" t="s">
        <v>290</v>
      </c>
      <c r="C164" s="1">
        <v>6</v>
      </c>
      <c r="D164" s="1" t="s">
        <v>51</v>
      </c>
      <c r="E164" s="1">
        <v>6</v>
      </c>
      <c r="F164" s="1">
        <v>100</v>
      </c>
      <c r="G164" s="1" t="s">
        <v>211</v>
      </c>
      <c r="H164" s="1">
        <v>6</v>
      </c>
      <c r="J164" s="1">
        <v>6</v>
      </c>
      <c r="K164" s="3">
        <f t="shared" ref="K164:K169" si="6">100*J164/C164</f>
        <v>100</v>
      </c>
    </row>
    <row r="165" spans="1:11" x14ac:dyDescent="0.2">
      <c r="A165">
        <v>164</v>
      </c>
      <c r="B165" t="s">
        <v>291</v>
      </c>
      <c r="C165" s="1">
        <v>8</v>
      </c>
      <c r="D165" s="1" t="s">
        <v>130</v>
      </c>
      <c r="E165" s="1">
        <v>8</v>
      </c>
      <c r="F165" s="1">
        <v>100</v>
      </c>
      <c r="G165" s="1" t="s">
        <v>131</v>
      </c>
      <c r="H165" s="1">
        <v>6</v>
      </c>
      <c r="J165" s="1">
        <v>8</v>
      </c>
      <c r="K165" s="3">
        <f t="shared" si="6"/>
        <v>100</v>
      </c>
    </row>
    <row r="166" spans="1:11" x14ac:dyDescent="0.2">
      <c r="A166">
        <v>165</v>
      </c>
      <c r="B166" t="s">
        <v>292</v>
      </c>
      <c r="C166" s="1">
        <v>4</v>
      </c>
      <c r="D166" s="1" t="s">
        <v>51</v>
      </c>
      <c r="E166" s="1">
        <v>4</v>
      </c>
      <c r="F166" s="1">
        <v>100</v>
      </c>
      <c r="G166" s="1" t="s">
        <v>211</v>
      </c>
      <c r="H166" s="1">
        <v>4</v>
      </c>
      <c r="J166" s="1">
        <v>4</v>
      </c>
      <c r="K166" s="3">
        <f t="shared" si="6"/>
        <v>100</v>
      </c>
    </row>
    <row r="167" spans="1:11" x14ac:dyDescent="0.2">
      <c r="A167">
        <v>166</v>
      </c>
      <c r="B167" t="s">
        <v>293</v>
      </c>
      <c r="C167" s="1">
        <v>114</v>
      </c>
      <c r="D167" s="1" t="s">
        <v>51</v>
      </c>
      <c r="E167" s="1">
        <v>114</v>
      </c>
      <c r="F167" s="1">
        <v>100</v>
      </c>
      <c r="G167" s="1" t="s">
        <v>211</v>
      </c>
      <c r="H167" s="1">
        <v>108</v>
      </c>
      <c r="J167" s="1">
        <v>114</v>
      </c>
      <c r="K167" s="3">
        <f t="shared" si="6"/>
        <v>100</v>
      </c>
    </row>
    <row r="168" spans="1:11" x14ac:dyDescent="0.2">
      <c r="A168">
        <v>167</v>
      </c>
      <c r="B168" t="s">
        <v>294</v>
      </c>
      <c r="C168" s="1">
        <v>40</v>
      </c>
      <c r="D168" s="1" t="s">
        <v>43</v>
      </c>
      <c r="E168" s="1">
        <v>40</v>
      </c>
      <c r="F168" s="1">
        <v>100</v>
      </c>
      <c r="G168" s="1" t="s">
        <v>156</v>
      </c>
      <c r="H168" s="1">
        <v>39</v>
      </c>
      <c r="J168" s="1">
        <v>40</v>
      </c>
      <c r="K168" s="3">
        <f t="shared" si="6"/>
        <v>100</v>
      </c>
    </row>
    <row r="169" spans="1:11" x14ac:dyDescent="0.2">
      <c r="A169">
        <v>168</v>
      </c>
      <c r="B169" t="s">
        <v>295</v>
      </c>
      <c r="C169" s="1">
        <v>1</v>
      </c>
      <c r="D169" s="1" t="s">
        <v>296</v>
      </c>
      <c r="E169" s="1">
        <v>1</v>
      </c>
      <c r="F169" s="1">
        <v>100</v>
      </c>
      <c r="G169" s="1" t="s">
        <v>297</v>
      </c>
      <c r="H169" s="1">
        <v>1</v>
      </c>
      <c r="J169" s="1">
        <v>1</v>
      </c>
      <c r="K169" s="3">
        <f t="shared" si="6"/>
        <v>100</v>
      </c>
    </row>
    <row r="170" spans="1:11" x14ac:dyDescent="0.2">
      <c r="A170">
        <v>169</v>
      </c>
      <c r="B170" t="s">
        <v>298</v>
      </c>
      <c r="C170" s="1">
        <v>0</v>
      </c>
      <c r="D170" s="1" t="s">
        <v>539</v>
      </c>
      <c r="E170" s="1" t="s">
        <v>539</v>
      </c>
      <c r="F170" s="1" t="s">
        <v>539</v>
      </c>
      <c r="G170" s="1" t="s">
        <v>539</v>
      </c>
      <c r="H170" s="1" t="s">
        <v>539</v>
      </c>
      <c r="I170" s="1" t="s">
        <v>539</v>
      </c>
      <c r="J170" s="1" t="s">
        <v>539</v>
      </c>
      <c r="K170" s="1" t="s">
        <v>539</v>
      </c>
    </row>
    <row r="171" spans="1:11" x14ac:dyDescent="0.2">
      <c r="A171">
        <v>170</v>
      </c>
      <c r="B171" t="s">
        <v>299</v>
      </c>
      <c r="C171" s="1">
        <v>0</v>
      </c>
      <c r="D171" s="1" t="s">
        <v>539</v>
      </c>
      <c r="E171" s="1" t="s">
        <v>539</v>
      </c>
      <c r="F171" s="1" t="s">
        <v>539</v>
      </c>
      <c r="G171" s="1" t="s">
        <v>539</v>
      </c>
      <c r="H171" s="1" t="s">
        <v>539</v>
      </c>
      <c r="I171" s="1" t="s">
        <v>539</v>
      </c>
      <c r="J171" s="1" t="s">
        <v>539</v>
      </c>
      <c r="K171" s="1" t="s">
        <v>539</v>
      </c>
    </row>
    <row r="172" spans="1:11" x14ac:dyDescent="0.2">
      <c r="A172">
        <v>171</v>
      </c>
      <c r="B172" t="s">
        <v>300</v>
      </c>
      <c r="C172" s="1">
        <v>4</v>
      </c>
      <c r="D172" s="1" t="s">
        <v>68</v>
      </c>
      <c r="E172" s="1">
        <v>4</v>
      </c>
      <c r="F172" s="1">
        <v>100</v>
      </c>
      <c r="G172" s="1" t="s">
        <v>108</v>
      </c>
      <c r="H172" s="1">
        <v>3</v>
      </c>
      <c r="J172" s="1">
        <v>4</v>
      </c>
      <c r="K172" s="3">
        <f>100*J172/C172</f>
        <v>100</v>
      </c>
    </row>
    <row r="173" spans="1:11" x14ac:dyDescent="0.2">
      <c r="A173">
        <v>172</v>
      </c>
      <c r="B173" t="s">
        <v>301</v>
      </c>
      <c r="C173" s="1">
        <v>898</v>
      </c>
      <c r="D173" s="1" t="s">
        <v>100</v>
      </c>
      <c r="E173" s="1">
        <v>855</v>
      </c>
      <c r="F173" s="1">
        <v>95.2</v>
      </c>
      <c r="G173" s="1" t="s">
        <v>101</v>
      </c>
      <c r="H173" s="1">
        <v>586</v>
      </c>
      <c r="I173" s="1" t="s">
        <v>302</v>
      </c>
      <c r="J173" s="2">
        <v>898</v>
      </c>
      <c r="K173" s="3">
        <f>100*J173/C173</f>
        <v>100</v>
      </c>
    </row>
    <row r="174" spans="1:11" x14ac:dyDescent="0.2">
      <c r="A174">
        <v>173</v>
      </c>
      <c r="B174" t="s">
        <v>303</v>
      </c>
      <c r="C174" s="1">
        <v>714</v>
      </c>
      <c r="D174" s="1" t="s">
        <v>118</v>
      </c>
      <c r="E174" s="1">
        <v>714</v>
      </c>
      <c r="F174" s="1">
        <v>100</v>
      </c>
      <c r="G174" s="1" t="s">
        <v>304</v>
      </c>
      <c r="H174" s="1">
        <v>167</v>
      </c>
      <c r="J174" s="1">
        <v>714</v>
      </c>
      <c r="K174" s="3">
        <f>100*J174/C174</f>
        <v>100</v>
      </c>
    </row>
    <row r="175" spans="1:11" x14ac:dyDescent="0.2">
      <c r="A175">
        <v>174</v>
      </c>
      <c r="B175" t="s">
        <v>305</v>
      </c>
      <c r="C175" s="1">
        <v>232</v>
      </c>
      <c r="D175" s="1" t="s">
        <v>100</v>
      </c>
      <c r="E175" s="1">
        <v>210</v>
      </c>
      <c r="F175" s="1">
        <v>90.5</v>
      </c>
      <c r="G175" s="1" t="s">
        <v>306</v>
      </c>
      <c r="H175" s="1">
        <v>83</v>
      </c>
      <c r="I175" s="1" t="s">
        <v>307</v>
      </c>
      <c r="J175" s="2">
        <v>232</v>
      </c>
      <c r="K175" s="3">
        <f>100*J175/C175</f>
        <v>100</v>
      </c>
    </row>
    <row r="176" spans="1:11" x14ac:dyDescent="0.2">
      <c r="A176">
        <v>175</v>
      </c>
      <c r="B176" t="s">
        <v>308</v>
      </c>
      <c r="C176" s="1">
        <v>318</v>
      </c>
      <c r="D176" s="1" t="s">
        <v>118</v>
      </c>
      <c r="E176" s="1">
        <v>318</v>
      </c>
      <c r="F176" s="1">
        <v>100</v>
      </c>
      <c r="G176" s="1" t="s">
        <v>309</v>
      </c>
      <c r="H176" s="1">
        <v>101</v>
      </c>
      <c r="J176" s="1">
        <v>318</v>
      </c>
      <c r="K176" s="3">
        <f>100*J176/C176</f>
        <v>100</v>
      </c>
    </row>
    <row r="177" spans="1:11" x14ac:dyDescent="0.2">
      <c r="A177">
        <v>176</v>
      </c>
      <c r="B177" t="s">
        <v>310</v>
      </c>
      <c r="C177" s="1">
        <v>0</v>
      </c>
      <c r="D177" s="1" t="s">
        <v>539</v>
      </c>
      <c r="E177" s="1" t="s">
        <v>539</v>
      </c>
      <c r="F177" s="1" t="s">
        <v>539</v>
      </c>
      <c r="G177" s="1" t="s">
        <v>539</v>
      </c>
      <c r="H177" s="1" t="s">
        <v>539</v>
      </c>
      <c r="I177" s="1" t="s">
        <v>539</v>
      </c>
      <c r="J177" s="1" t="s">
        <v>539</v>
      </c>
      <c r="K177" s="1" t="s">
        <v>539</v>
      </c>
    </row>
    <row r="178" spans="1:11" x14ac:dyDescent="0.2">
      <c r="A178">
        <v>177</v>
      </c>
      <c r="B178" t="s">
        <v>311</v>
      </c>
      <c r="C178" s="1">
        <v>80</v>
      </c>
      <c r="D178" s="1" t="s">
        <v>118</v>
      </c>
      <c r="E178" s="1">
        <v>80</v>
      </c>
      <c r="F178" s="1">
        <v>100</v>
      </c>
      <c r="G178" s="1" t="s">
        <v>182</v>
      </c>
      <c r="H178" s="1">
        <v>31</v>
      </c>
      <c r="J178" s="1">
        <v>80</v>
      </c>
      <c r="K178" s="3">
        <f t="shared" ref="K178:K183" si="7">100*J178/C178</f>
        <v>100</v>
      </c>
    </row>
    <row r="179" spans="1:11" x14ac:dyDescent="0.2">
      <c r="A179">
        <v>178</v>
      </c>
      <c r="B179" t="s">
        <v>312</v>
      </c>
      <c r="C179" s="1">
        <v>69</v>
      </c>
      <c r="D179" s="1" t="s">
        <v>100</v>
      </c>
      <c r="E179" s="1">
        <v>67</v>
      </c>
      <c r="F179" s="1">
        <v>97.1</v>
      </c>
      <c r="G179" s="1" t="s">
        <v>101</v>
      </c>
      <c r="H179" s="1">
        <v>40</v>
      </c>
      <c r="I179" s="1" t="s">
        <v>276</v>
      </c>
      <c r="J179" s="2">
        <v>69</v>
      </c>
      <c r="K179" s="3">
        <f t="shared" si="7"/>
        <v>100</v>
      </c>
    </row>
    <row r="180" spans="1:11" x14ac:dyDescent="0.2">
      <c r="A180">
        <v>179</v>
      </c>
      <c r="B180" t="s">
        <v>313</v>
      </c>
      <c r="C180" s="1">
        <v>594</v>
      </c>
      <c r="D180" s="1" t="s">
        <v>314</v>
      </c>
      <c r="E180" s="1">
        <v>567</v>
      </c>
      <c r="F180" s="1">
        <v>95.5</v>
      </c>
      <c r="G180" s="1" t="s">
        <v>315</v>
      </c>
      <c r="H180" s="1">
        <v>332</v>
      </c>
      <c r="I180" s="1" t="s">
        <v>316</v>
      </c>
      <c r="J180" s="2">
        <v>594</v>
      </c>
      <c r="K180" s="3">
        <f t="shared" si="7"/>
        <v>100</v>
      </c>
    </row>
    <row r="181" spans="1:11" x14ac:dyDescent="0.2">
      <c r="A181">
        <v>180</v>
      </c>
      <c r="B181" t="s">
        <v>317</v>
      </c>
      <c r="C181" s="1">
        <v>62</v>
      </c>
      <c r="D181" s="1" t="s">
        <v>118</v>
      </c>
      <c r="E181" s="1">
        <v>62</v>
      </c>
      <c r="F181" s="1">
        <v>100</v>
      </c>
      <c r="G181" s="1" t="s">
        <v>318</v>
      </c>
      <c r="H181" s="1">
        <v>43</v>
      </c>
      <c r="J181" s="1">
        <v>62</v>
      </c>
      <c r="K181" s="3">
        <f t="shared" si="7"/>
        <v>100</v>
      </c>
    </row>
    <row r="182" spans="1:11" x14ac:dyDescent="0.2">
      <c r="A182">
        <v>181</v>
      </c>
      <c r="B182" t="s">
        <v>319</v>
      </c>
      <c r="C182" s="1">
        <v>38</v>
      </c>
      <c r="D182" s="1" t="s">
        <v>176</v>
      </c>
      <c r="E182" s="1">
        <v>38</v>
      </c>
      <c r="F182" s="1">
        <v>100</v>
      </c>
      <c r="G182" s="1" t="s">
        <v>179</v>
      </c>
      <c r="H182" s="1">
        <v>22</v>
      </c>
      <c r="J182" s="1">
        <v>38</v>
      </c>
      <c r="K182" s="3">
        <f t="shared" si="7"/>
        <v>100</v>
      </c>
    </row>
    <row r="183" spans="1:11" x14ac:dyDescent="0.2">
      <c r="A183">
        <v>182</v>
      </c>
      <c r="B183" t="s">
        <v>320</v>
      </c>
      <c r="C183" s="1">
        <v>6</v>
      </c>
      <c r="D183" s="1" t="s">
        <v>118</v>
      </c>
      <c r="E183" s="1">
        <v>6</v>
      </c>
      <c r="F183" s="1">
        <v>100</v>
      </c>
      <c r="G183" s="1" t="s">
        <v>321</v>
      </c>
      <c r="H183" s="1">
        <v>3</v>
      </c>
      <c r="J183" s="1">
        <v>6</v>
      </c>
      <c r="K183" s="3">
        <f t="shared" si="7"/>
        <v>100</v>
      </c>
    </row>
    <row r="184" spans="1:11" x14ac:dyDescent="0.2">
      <c r="A184">
        <v>183</v>
      </c>
      <c r="B184" t="s">
        <v>322</v>
      </c>
      <c r="C184" s="1">
        <v>0</v>
      </c>
      <c r="D184" s="1" t="s">
        <v>539</v>
      </c>
      <c r="E184" s="1" t="s">
        <v>539</v>
      </c>
      <c r="F184" s="1" t="s">
        <v>539</v>
      </c>
      <c r="G184" s="1" t="s">
        <v>539</v>
      </c>
      <c r="H184" s="1" t="s">
        <v>539</v>
      </c>
      <c r="I184" s="1" t="s">
        <v>539</v>
      </c>
      <c r="J184" s="1" t="s">
        <v>539</v>
      </c>
      <c r="K184" s="1" t="s">
        <v>539</v>
      </c>
    </row>
    <row r="185" spans="1:11" x14ac:dyDescent="0.2">
      <c r="A185">
        <v>184</v>
      </c>
      <c r="B185" t="s">
        <v>323</v>
      </c>
      <c r="C185" s="1">
        <v>1</v>
      </c>
      <c r="D185" s="1" t="s">
        <v>118</v>
      </c>
      <c r="E185" s="1">
        <v>1</v>
      </c>
      <c r="F185" s="1">
        <v>100</v>
      </c>
      <c r="G185" s="1" t="s">
        <v>318</v>
      </c>
      <c r="H185" s="1">
        <v>1</v>
      </c>
      <c r="J185" s="1">
        <v>1</v>
      </c>
      <c r="K185" s="3">
        <f>100*J185/C185</f>
        <v>100</v>
      </c>
    </row>
    <row r="186" spans="1:11" x14ac:dyDescent="0.2">
      <c r="A186">
        <v>185</v>
      </c>
      <c r="B186" t="s">
        <v>324</v>
      </c>
      <c r="C186" s="1">
        <v>144</v>
      </c>
      <c r="D186" s="1" t="s">
        <v>100</v>
      </c>
      <c r="E186" s="1">
        <v>135</v>
      </c>
      <c r="F186" s="1">
        <v>93.8</v>
      </c>
      <c r="G186" s="1" t="s">
        <v>101</v>
      </c>
      <c r="H186" s="1">
        <v>99</v>
      </c>
      <c r="I186" s="1" t="s">
        <v>325</v>
      </c>
      <c r="J186" s="2">
        <v>144</v>
      </c>
      <c r="K186" s="3">
        <f>100*J186/C186</f>
        <v>100</v>
      </c>
    </row>
    <row r="187" spans="1:11" x14ac:dyDescent="0.2">
      <c r="A187">
        <v>186</v>
      </c>
      <c r="B187" t="s">
        <v>326</v>
      </c>
      <c r="C187" s="1">
        <v>753</v>
      </c>
      <c r="D187" s="1" t="s">
        <v>118</v>
      </c>
      <c r="E187" s="1">
        <v>753</v>
      </c>
      <c r="F187" s="1">
        <v>100</v>
      </c>
      <c r="G187" s="1" t="s">
        <v>327</v>
      </c>
      <c r="H187" s="1">
        <v>237</v>
      </c>
      <c r="J187" s="1">
        <v>753</v>
      </c>
      <c r="K187" s="3">
        <f>100*J187/C187</f>
        <v>100</v>
      </c>
    </row>
    <row r="188" spans="1:11" x14ac:dyDescent="0.2">
      <c r="A188">
        <v>187</v>
      </c>
      <c r="B188" t="s">
        <v>328</v>
      </c>
      <c r="C188" s="1">
        <v>161</v>
      </c>
      <c r="D188" s="1" t="s">
        <v>100</v>
      </c>
      <c r="E188" s="1">
        <v>149</v>
      </c>
      <c r="F188" s="1">
        <v>92.5</v>
      </c>
      <c r="G188" s="1" t="s">
        <v>306</v>
      </c>
      <c r="H188" s="1">
        <v>43</v>
      </c>
      <c r="I188" s="1" t="s">
        <v>329</v>
      </c>
      <c r="J188" s="2">
        <v>161</v>
      </c>
      <c r="K188" s="3">
        <f>100*J188/C188</f>
        <v>100</v>
      </c>
    </row>
    <row r="189" spans="1:11" x14ac:dyDescent="0.2">
      <c r="A189">
        <v>188</v>
      </c>
      <c r="B189" t="s">
        <v>330</v>
      </c>
      <c r="C189" s="1">
        <v>23</v>
      </c>
      <c r="D189" s="1" t="s">
        <v>68</v>
      </c>
      <c r="E189" s="1">
        <v>22</v>
      </c>
      <c r="F189" s="1">
        <v>95.7</v>
      </c>
      <c r="G189" s="1" t="s">
        <v>331</v>
      </c>
      <c r="H189" s="1">
        <v>13</v>
      </c>
      <c r="I189" s="1" t="s">
        <v>332</v>
      </c>
      <c r="J189" s="2">
        <v>23</v>
      </c>
      <c r="K189" s="3">
        <f>100*J189/C189</f>
        <v>100</v>
      </c>
    </row>
    <row r="190" spans="1:11" x14ac:dyDescent="0.2">
      <c r="A190">
        <v>189</v>
      </c>
      <c r="B190" t="s">
        <v>333</v>
      </c>
      <c r="C190" s="1">
        <v>0</v>
      </c>
      <c r="D190" s="1" t="s">
        <v>539</v>
      </c>
      <c r="E190" s="1" t="s">
        <v>539</v>
      </c>
      <c r="F190" s="1" t="s">
        <v>539</v>
      </c>
      <c r="G190" s="1" t="s">
        <v>539</v>
      </c>
      <c r="H190" s="1" t="s">
        <v>539</v>
      </c>
      <c r="I190" s="1" t="s">
        <v>539</v>
      </c>
      <c r="J190" s="1" t="s">
        <v>539</v>
      </c>
      <c r="K190" s="1" t="s">
        <v>539</v>
      </c>
    </row>
    <row r="191" spans="1:11" x14ac:dyDescent="0.2">
      <c r="A191">
        <v>190</v>
      </c>
      <c r="B191" t="s">
        <v>334</v>
      </c>
      <c r="C191" s="1">
        <v>853</v>
      </c>
      <c r="D191" s="1" t="s">
        <v>100</v>
      </c>
      <c r="E191" s="1">
        <v>801</v>
      </c>
      <c r="F191" s="1">
        <v>93.9</v>
      </c>
      <c r="G191" s="1" t="s">
        <v>306</v>
      </c>
      <c r="H191" s="1">
        <v>277</v>
      </c>
      <c r="I191" s="1" t="s">
        <v>335</v>
      </c>
      <c r="J191" s="2">
        <v>853</v>
      </c>
      <c r="K191" s="3">
        <f t="shared" ref="K191:K205" si="8">100*J191/C191</f>
        <v>100</v>
      </c>
    </row>
    <row r="192" spans="1:11" x14ac:dyDescent="0.2">
      <c r="A192">
        <v>191</v>
      </c>
      <c r="B192" t="s">
        <v>336</v>
      </c>
      <c r="C192" s="1">
        <v>508</v>
      </c>
      <c r="D192" s="1" t="s">
        <v>100</v>
      </c>
      <c r="E192" s="1">
        <v>481</v>
      </c>
      <c r="F192" s="1">
        <v>94.7</v>
      </c>
      <c r="G192" s="1" t="s">
        <v>101</v>
      </c>
      <c r="H192" s="1">
        <v>333</v>
      </c>
      <c r="I192" s="1" t="s">
        <v>337</v>
      </c>
      <c r="J192" s="2">
        <v>508</v>
      </c>
      <c r="K192" s="3">
        <f t="shared" si="8"/>
        <v>100</v>
      </c>
    </row>
    <row r="193" spans="1:11" x14ac:dyDescent="0.2">
      <c r="A193">
        <v>192</v>
      </c>
      <c r="B193" t="s">
        <v>338</v>
      </c>
      <c r="C193" s="1">
        <v>2</v>
      </c>
      <c r="D193" s="1" t="s">
        <v>118</v>
      </c>
      <c r="E193" s="1">
        <v>2</v>
      </c>
      <c r="F193" s="1">
        <v>100</v>
      </c>
      <c r="G193" s="1" t="s">
        <v>339</v>
      </c>
      <c r="H193" s="1">
        <v>1</v>
      </c>
      <c r="J193" s="1">
        <v>2</v>
      </c>
      <c r="K193" s="3">
        <f t="shared" si="8"/>
        <v>100</v>
      </c>
    </row>
    <row r="194" spans="1:11" x14ac:dyDescent="0.2">
      <c r="A194">
        <v>193</v>
      </c>
      <c r="B194" t="s">
        <v>340</v>
      </c>
      <c r="C194" s="1">
        <v>36</v>
      </c>
      <c r="D194" s="1" t="s">
        <v>100</v>
      </c>
      <c r="E194" s="1">
        <v>30</v>
      </c>
      <c r="F194" s="1">
        <v>83.3</v>
      </c>
      <c r="G194" s="1" t="s">
        <v>101</v>
      </c>
      <c r="H194" s="1">
        <v>21</v>
      </c>
      <c r="I194" s="1" t="s">
        <v>341</v>
      </c>
      <c r="J194" s="2">
        <v>36</v>
      </c>
      <c r="K194" s="3">
        <f t="shared" si="8"/>
        <v>100</v>
      </c>
    </row>
    <row r="195" spans="1:11" x14ac:dyDescent="0.2">
      <c r="A195">
        <v>194</v>
      </c>
      <c r="B195" t="s">
        <v>342</v>
      </c>
      <c r="C195" s="1">
        <v>130</v>
      </c>
      <c r="D195" s="1" t="s">
        <v>100</v>
      </c>
      <c r="E195" s="1">
        <v>122</v>
      </c>
      <c r="F195" s="1">
        <v>93.8</v>
      </c>
      <c r="G195" s="1" t="s">
        <v>306</v>
      </c>
      <c r="H195" s="1">
        <v>52</v>
      </c>
      <c r="I195" s="1" t="s">
        <v>343</v>
      </c>
      <c r="J195" s="2">
        <v>130</v>
      </c>
      <c r="K195" s="3">
        <f t="shared" si="8"/>
        <v>100</v>
      </c>
    </row>
    <row r="196" spans="1:11" x14ac:dyDescent="0.2">
      <c r="A196">
        <v>195</v>
      </c>
      <c r="B196" t="s">
        <v>344</v>
      </c>
      <c r="C196" s="1">
        <v>48</v>
      </c>
      <c r="D196" s="1" t="s">
        <v>118</v>
      </c>
      <c r="E196" s="1">
        <v>48</v>
      </c>
      <c r="F196" s="1">
        <v>100</v>
      </c>
      <c r="G196" s="1" t="s">
        <v>18</v>
      </c>
      <c r="H196" s="1">
        <v>13</v>
      </c>
      <c r="J196" s="1">
        <v>48</v>
      </c>
      <c r="K196" s="3">
        <f t="shared" si="8"/>
        <v>100</v>
      </c>
    </row>
    <row r="197" spans="1:11" x14ac:dyDescent="0.2">
      <c r="A197">
        <v>196</v>
      </c>
      <c r="B197" t="s">
        <v>345</v>
      </c>
      <c r="C197" s="1">
        <v>7</v>
      </c>
      <c r="D197" s="1" t="s">
        <v>118</v>
      </c>
      <c r="E197" s="1">
        <v>7</v>
      </c>
      <c r="F197" s="1">
        <v>100</v>
      </c>
      <c r="G197" s="1" t="s">
        <v>346</v>
      </c>
      <c r="H197" s="1">
        <v>3</v>
      </c>
      <c r="J197" s="1">
        <v>7</v>
      </c>
      <c r="K197" s="3">
        <f t="shared" si="8"/>
        <v>100</v>
      </c>
    </row>
    <row r="198" spans="1:11" x14ac:dyDescent="0.2">
      <c r="A198">
        <v>197</v>
      </c>
      <c r="B198" t="s">
        <v>347</v>
      </c>
      <c r="C198" s="1">
        <v>42</v>
      </c>
      <c r="D198" s="1" t="s">
        <v>68</v>
      </c>
      <c r="E198" s="1">
        <v>42</v>
      </c>
      <c r="F198" s="1">
        <v>100</v>
      </c>
      <c r="G198" s="1" t="s">
        <v>108</v>
      </c>
      <c r="H198" s="1">
        <v>40</v>
      </c>
      <c r="J198" s="1">
        <v>42</v>
      </c>
      <c r="K198" s="3">
        <f t="shared" si="8"/>
        <v>100</v>
      </c>
    </row>
    <row r="199" spans="1:11" x14ac:dyDescent="0.2">
      <c r="A199">
        <v>198</v>
      </c>
      <c r="B199" t="s">
        <v>348</v>
      </c>
      <c r="C199" s="1">
        <v>220</v>
      </c>
      <c r="D199" s="1" t="s">
        <v>100</v>
      </c>
      <c r="E199" s="1">
        <v>207</v>
      </c>
      <c r="F199" s="1">
        <v>94.1</v>
      </c>
      <c r="G199" s="1" t="s">
        <v>101</v>
      </c>
      <c r="H199" s="1">
        <v>140</v>
      </c>
      <c r="I199" s="1" t="s">
        <v>349</v>
      </c>
      <c r="J199" s="2">
        <v>220</v>
      </c>
      <c r="K199" s="3">
        <f t="shared" si="8"/>
        <v>100</v>
      </c>
    </row>
    <row r="200" spans="1:11" x14ac:dyDescent="0.2">
      <c r="A200">
        <v>199</v>
      </c>
      <c r="B200" t="s">
        <v>350</v>
      </c>
      <c r="C200" s="1">
        <v>14</v>
      </c>
      <c r="D200" s="1" t="s">
        <v>118</v>
      </c>
      <c r="E200" s="1">
        <v>14</v>
      </c>
      <c r="F200" s="1">
        <v>100</v>
      </c>
      <c r="G200" s="1" t="s">
        <v>351</v>
      </c>
      <c r="H200" s="1">
        <v>4</v>
      </c>
      <c r="J200" s="1">
        <v>14</v>
      </c>
      <c r="K200" s="3">
        <f t="shared" si="8"/>
        <v>100</v>
      </c>
    </row>
    <row r="201" spans="1:11" x14ac:dyDescent="0.2">
      <c r="A201">
        <v>200</v>
      </c>
      <c r="B201" t="s">
        <v>352</v>
      </c>
      <c r="C201" s="1">
        <v>111</v>
      </c>
      <c r="D201" s="1" t="s">
        <v>86</v>
      </c>
      <c r="E201" s="1">
        <v>111</v>
      </c>
      <c r="F201" s="1">
        <v>100</v>
      </c>
      <c r="G201" s="1" t="s">
        <v>353</v>
      </c>
      <c r="H201" s="1">
        <v>62</v>
      </c>
      <c r="J201" s="1">
        <v>111</v>
      </c>
      <c r="K201" s="3">
        <f t="shared" si="8"/>
        <v>100</v>
      </c>
    </row>
    <row r="202" spans="1:11" x14ac:dyDescent="0.2">
      <c r="A202">
        <v>201</v>
      </c>
      <c r="B202" t="s">
        <v>354</v>
      </c>
      <c r="C202" s="1">
        <v>44</v>
      </c>
      <c r="D202" s="1" t="s">
        <v>118</v>
      </c>
      <c r="E202" s="1">
        <v>44</v>
      </c>
      <c r="F202" s="1">
        <v>100</v>
      </c>
      <c r="G202" s="1" t="s">
        <v>355</v>
      </c>
      <c r="H202" s="1">
        <v>13</v>
      </c>
      <c r="J202" s="1">
        <v>44</v>
      </c>
      <c r="K202" s="3">
        <f t="shared" si="8"/>
        <v>100</v>
      </c>
    </row>
    <row r="203" spans="1:11" x14ac:dyDescent="0.2">
      <c r="A203">
        <v>202</v>
      </c>
      <c r="B203" t="s">
        <v>356</v>
      </c>
      <c r="C203" s="1">
        <v>1424</v>
      </c>
      <c r="D203" s="1" t="s">
        <v>100</v>
      </c>
      <c r="E203" s="1">
        <v>1376</v>
      </c>
      <c r="F203" s="1">
        <v>96.6</v>
      </c>
      <c r="G203" s="1" t="s">
        <v>101</v>
      </c>
      <c r="H203" s="1">
        <v>956</v>
      </c>
      <c r="I203" s="1" t="s">
        <v>357</v>
      </c>
      <c r="J203" s="2">
        <v>1424</v>
      </c>
      <c r="K203" s="3">
        <f t="shared" si="8"/>
        <v>100</v>
      </c>
    </row>
    <row r="204" spans="1:11" x14ac:dyDescent="0.2">
      <c r="A204">
        <v>203</v>
      </c>
      <c r="B204" t="s">
        <v>358</v>
      </c>
      <c r="C204" s="1">
        <v>107</v>
      </c>
      <c r="D204" s="1" t="s">
        <v>100</v>
      </c>
      <c r="E204" s="1">
        <v>101</v>
      </c>
      <c r="F204" s="1">
        <v>94.4</v>
      </c>
      <c r="G204" s="1" t="s">
        <v>306</v>
      </c>
      <c r="H204" s="1">
        <v>36</v>
      </c>
      <c r="I204" s="1" t="s">
        <v>341</v>
      </c>
      <c r="J204" s="2">
        <v>107</v>
      </c>
      <c r="K204" s="3">
        <f t="shared" si="8"/>
        <v>100</v>
      </c>
    </row>
    <row r="205" spans="1:11" x14ac:dyDescent="0.2">
      <c r="A205">
        <v>204</v>
      </c>
      <c r="B205" t="s">
        <v>359</v>
      </c>
      <c r="C205" s="1">
        <v>17</v>
      </c>
      <c r="D205" s="1" t="s">
        <v>118</v>
      </c>
      <c r="E205" s="1">
        <v>17</v>
      </c>
      <c r="F205" s="1">
        <v>100</v>
      </c>
      <c r="G205" s="1" t="s">
        <v>202</v>
      </c>
      <c r="H205" s="1">
        <v>10</v>
      </c>
      <c r="J205" s="1">
        <v>17</v>
      </c>
      <c r="K205" s="3">
        <f t="shared" si="8"/>
        <v>100</v>
      </c>
    </row>
    <row r="206" spans="1:11" x14ac:dyDescent="0.2">
      <c r="A206">
        <v>205</v>
      </c>
      <c r="B206" t="s">
        <v>360</v>
      </c>
      <c r="C206" s="1">
        <v>0</v>
      </c>
      <c r="D206" s="1" t="s">
        <v>539</v>
      </c>
      <c r="E206" s="1" t="s">
        <v>539</v>
      </c>
      <c r="F206" s="1" t="s">
        <v>539</v>
      </c>
      <c r="G206" s="1" t="s">
        <v>539</v>
      </c>
      <c r="H206" s="1" t="s">
        <v>539</v>
      </c>
      <c r="I206" s="1" t="s">
        <v>539</v>
      </c>
      <c r="J206" s="1" t="s">
        <v>539</v>
      </c>
      <c r="K206" s="1" t="s">
        <v>539</v>
      </c>
    </row>
    <row r="207" spans="1:11" x14ac:dyDescent="0.2">
      <c r="A207">
        <v>206</v>
      </c>
      <c r="B207" t="s">
        <v>361</v>
      </c>
      <c r="C207" s="1">
        <v>2</v>
      </c>
      <c r="D207" s="1" t="s">
        <v>118</v>
      </c>
      <c r="E207" s="1">
        <v>2</v>
      </c>
      <c r="F207" s="1">
        <v>100</v>
      </c>
      <c r="G207" s="1" t="s">
        <v>318</v>
      </c>
      <c r="H207" s="1">
        <v>1</v>
      </c>
      <c r="J207" s="1">
        <v>2</v>
      </c>
      <c r="K207" s="3">
        <f t="shared" ref="K207:K212" si="9">100*J207/C207</f>
        <v>100</v>
      </c>
    </row>
    <row r="208" spans="1:11" x14ac:dyDescent="0.2">
      <c r="A208">
        <v>207</v>
      </c>
      <c r="B208" t="s">
        <v>362</v>
      </c>
      <c r="C208" s="1">
        <v>44</v>
      </c>
      <c r="D208" s="1" t="s">
        <v>118</v>
      </c>
      <c r="E208" s="1">
        <v>44</v>
      </c>
      <c r="F208" s="1">
        <v>100</v>
      </c>
      <c r="G208" s="1" t="s">
        <v>318</v>
      </c>
      <c r="H208" s="1">
        <v>27</v>
      </c>
      <c r="J208" s="1">
        <v>44</v>
      </c>
      <c r="K208" s="3">
        <f t="shared" si="9"/>
        <v>100</v>
      </c>
    </row>
    <row r="209" spans="1:11" x14ac:dyDescent="0.2">
      <c r="A209">
        <v>208</v>
      </c>
      <c r="B209" t="s">
        <v>363</v>
      </c>
      <c r="C209" s="1">
        <v>132</v>
      </c>
      <c r="D209" s="1" t="s">
        <v>100</v>
      </c>
      <c r="E209" s="1">
        <v>120</v>
      </c>
      <c r="F209" s="1">
        <v>90.9</v>
      </c>
      <c r="G209" s="1" t="s">
        <v>101</v>
      </c>
      <c r="H209" s="1">
        <v>43</v>
      </c>
      <c r="I209" s="1" t="s">
        <v>329</v>
      </c>
      <c r="J209" s="2">
        <v>132</v>
      </c>
      <c r="K209" s="3">
        <f t="shared" si="9"/>
        <v>100</v>
      </c>
    </row>
    <row r="210" spans="1:11" x14ac:dyDescent="0.2">
      <c r="A210">
        <v>209</v>
      </c>
      <c r="B210" t="s">
        <v>364</v>
      </c>
      <c r="C210" s="1">
        <v>182</v>
      </c>
      <c r="D210" s="1" t="s">
        <v>118</v>
      </c>
      <c r="E210" s="1">
        <v>182</v>
      </c>
      <c r="F210" s="1">
        <v>100</v>
      </c>
      <c r="G210" s="1" t="s">
        <v>365</v>
      </c>
      <c r="H210" s="1">
        <v>46</v>
      </c>
      <c r="J210" s="1">
        <v>182</v>
      </c>
      <c r="K210" s="3">
        <f t="shared" si="9"/>
        <v>100</v>
      </c>
    </row>
    <row r="211" spans="1:11" x14ac:dyDescent="0.2">
      <c r="A211">
        <v>210</v>
      </c>
      <c r="B211" t="s">
        <v>366</v>
      </c>
      <c r="C211" s="1">
        <v>1</v>
      </c>
      <c r="D211" s="1" t="s">
        <v>118</v>
      </c>
      <c r="E211" s="1">
        <v>1</v>
      </c>
      <c r="F211" s="1">
        <v>100</v>
      </c>
      <c r="G211" s="1" t="s">
        <v>202</v>
      </c>
      <c r="H211" s="1">
        <v>1</v>
      </c>
      <c r="J211" s="1">
        <v>1</v>
      </c>
      <c r="K211" s="3">
        <f t="shared" si="9"/>
        <v>100</v>
      </c>
    </row>
    <row r="212" spans="1:11" x14ac:dyDescent="0.2">
      <c r="A212">
        <v>211</v>
      </c>
      <c r="B212" t="s">
        <v>367</v>
      </c>
      <c r="C212" s="1">
        <v>151</v>
      </c>
      <c r="D212" s="1" t="s">
        <v>118</v>
      </c>
      <c r="E212" s="1">
        <v>151</v>
      </c>
      <c r="F212" s="1">
        <v>100</v>
      </c>
      <c r="G212" s="1" t="s">
        <v>368</v>
      </c>
      <c r="H212" s="1">
        <v>50</v>
      </c>
      <c r="J212" s="1">
        <v>151</v>
      </c>
      <c r="K212" s="3">
        <f t="shared" si="9"/>
        <v>100</v>
      </c>
    </row>
    <row r="213" spans="1:11" x14ac:dyDescent="0.2">
      <c r="A213">
        <v>212</v>
      </c>
      <c r="B213" t="s">
        <v>369</v>
      </c>
      <c r="C213" s="1">
        <v>0</v>
      </c>
      <c r="D213" s="1" t="s">
        <v>539</v>
      </c>
      <c r="E213" s="1" t="s">
        <v>539</v>
      </c>
      <c r="F213" s="1" t="s">
        <v>539</v>
      </c>
      <c r="G213" s="1" t="s">
        <v>539</v>
      </c>
      <c r="H213" s="1" t="s">
        <v>539</v>
      </c>
      <c r="I213" s="1" t="s">
        <v>539</v>
      </c>
      <c r="J213" s="1" t="s">
        <v>539</v>
      </c>
      <c r="K213" s="1" t="s">
        <v>539</v>
      </c>
    </row>
    <row r="214" spans="1:11" x14ac:dyDescent="0.2">
      <c r="A214">
        <v>213</v>
      </c>
      <c r="B214" t="s">
        <v>370</v>
      </c>
      <c r="C214" s="1">
        <v>34</v>
      </c>
      <c r="D214" s="1" t="s">
        <v>100</v>
      </c>
      <c r="E214" s="1">
        <v>34</v>
      </c>
      <c r="F214" s="1">
        <v>100</v>
      </c>
      <c r="G214" s="1" t="s">
        <v>371</v>
      </c>
      <c r="H214" s="1">
        <v>31</v>
      </c>
      <c r="J214" s="1">
        <v>34</v>
      </c>
      <c r="K214" s="3">
        <f t="shared" ref="K214:K220" si="10">100*J214/C214</f>
        <v>100</v>
      </c>
    </row>
    <row r="215" spans="1:11" x14ac:dyDescent="0.2">
      <c r="A215">
        <v>214</v>
      </c>
      <c r="B215" t="s">
        <v>372</v>
      </c>
      <c r="C215" s="1">
        <v>64</v>
      </c>
      <c r="D215" s="1" t="s">
        <v>100</v>
      </c>
      <c r="E215" s="1">
        <v>62</v>
      </c>
      <c r="F215" s="1">
        <v>96.9</v>
      </c>
      <c r="G215" s="1" t="s">
        <v>101</v>
      </c>
      <c r="H215" s="1">
        <v>39</v>
      </c>
      <c r="I215" s="1" t="s">
        <v>276</v>
      </c>
      <c r="J215" s="2">
        <v>64</v>
      </c>
      <c r="K215" s="3">
        <f t="shared" si="10"/>
        <v>100</v>
      </c>
    </row>
    <row r="216" spans="1:11" x14ac:dyDescent="0.2">
      <c r="A216">
        <v>215</v>
      </c>
      <c r="B216" t="s">
        <v>373</v>
      </c>
      <c r="C216" s="1">
        <v>237</v>
      </c>
      <c r="D216" s="1" t="s">
        <v>176</v>
      </c>
      <c r="E216" s="1">
        <v>237</v>
      </c>
      <c r="F216" s="1">
        <v>100</v>
      </c>
      <c r="G216" s="1" t="s">
        <v>374</v>
      </c>
      <c r="H216" s="1">
        <v>107</v>
      </c>
      <c r="J216" s="1">
        <v>237</v>
      </c>
      <c r="K216" s="3">
        <f t="shared" si="10"/>
        <v>100</v>
      </c>
    </row>
    <row r="217" spans="1:11" x14ac:dyDescent="0.2">
      <c r="A217">
        <v>216</v>
      </c>
      <c r="B217" t="s">
        <v>375</v>
      </c>
      <c r="C217" s="1">
        <v>3</v>
      </c>
      <c r="D217" s="1" t="s">
        <v>118</v>
      </c>
      <c r="E217" s="1">
        <v>3</v>
      </c>
      <c r="F217" s="1">
        <v>100</v>
      </c>
      <c r="G217" s="1" t="s">
        <v>18</v>
      </c>
      <c r="H217" s="1">
        <v>2</v>
      </c>
      <c r="J217" s="1">
        <v>3</v>
      </c>
      <c r="K217" s="3">
        <f t="shared" si="10"/>
        <v>100</v>
      </c>
    </row>
    <row r="218" spans="1:11" x14ac:dyDescent="0.2">
      <c r="A218">
        <v>217</v>
      </c>
      <c r="B218" t="s">
        <v>376</v>
      </c>
      <c r="C218" s="1">
        <v>337</v>
      </c>
      <c r="D218" s="1" t="s">
        <v>100</v>
      </c>
      <c r="E218" s="1">
        <v>320</v>
      </c>
      <c r="F218" s="1">
        <v>95</v>
      </c>
      <c r="G218" s="1" t="s">
        <v>101</v>
      </c>
      <c r="H218" s="1">
        <v>219</v>
      </c>
      <c r="I218" s="1" t="s">
        <v>377</v>
      </c>
      <c r="J218" s="2">
        <v>337</v>
      </c>
      <c r="K218" s="3">
        <f t="shared" si="10"/>
        <v>100</v>
      </c>
    </row>
    <row r="219" spans="1:11" x14ac:dyDescent="0.2">
      <c r="A219">
        <v>218</v>
      </c>
      <c r="B219" t="s">
        <v>378</v>
      </c>
      <c r="C219" s="1">
        <v>94</v>
      </c>
      <c r="D219" s="1" t="s">
        <v>379</v>
      </c>
      <c r="E219" s="1">
        <v>87</v>
      </c>
      <c r="F219" s="1">
        <v>92.6</v>
      </c>
      <c r="G219" s="1" t="s">
        <v>380</v>
      </c>
      <c r="H219" s="1">
        <v>80</v>
      </c>
      <c r="I219" s="1" t="s">
        <v>381</v>
      </c>
      <c r="J219" s="2">
        <v>94</v>
      </c>
      <c r="K219" s="3">
        <f t="shared" si="10"/>
        <v>100</v>
      </c>
    </row>
    <row r="220" spans="1:11" x14ac:dyDescent="0.2">
      <c r="A220">
        <v>219</v>
      </c>
      <c r="B220" t="s">
        <v>382</v>
      </c>
      <c r="C220" s="1">
        <v>405</v>
      </c>
      <c r="D220" s="1" t="s">
        <v>118</v>
      </c>
      <c r="E220" s="1">
        <v>405</v>
      </c>
      <c r="F220" s="1">
        <v>100</v>
      </c>
      <c r="G220" s="1" t="s">
        <v>368</v>
      </c>
      <c r="H220" s="1">
        <v>339</v>
      </c>
      <c r="J220" s="1">
        <v>405</v>
      </c>
      <c r="K220" s="3">
        <f t="shared" si="10"/>
        <v>100</v>
      </c>
    </row>
    <row r="221" spans="1:11" x14ac:dyDescent="0.2">
      <c r="A221">
        <v>220</v>
      </c>
      <c r="B221" t="s">
        <v>383</v>
      </c>
      <c r="C221" s="1">
        <v>0</v>
      </c>
      <c r="D221" s="1" t="s">
        <v>539</v>
      </c>
      <c r="E221" s="1" t="s">
        <v>539</v>
      </c>
      <c r="F221" s="1" t="s">
        <v>539</v>
      </c>
      <c r="G221" s="1" t="s">
        <v>539</v>
      </c>
      <c r="H221" s="1" t="s">
        <v>539</v>
      </c>
      <c r="I221" s="1" t="s">
        <v>539</v>
      </c>
      <c r="J221" s="1" t="s">
        <v>539</v>
      </c>
      <c r="K221" s="1" t="s">
        <v>539</v>
      </c>
    </row>
    <row r="222" spans="1:11" x14ac:dyDescent="0.2">
      <c r="A222">
        <v>221</v>
      </c>
      <c r="B222" t="s">
        <v>384</v>
      </c>
      <c r="C222" s="1">
        <v>971</v>
      </c>
      <c r="D222" s="1" t="s">
        <v>100</v>
      </c>
      <c r="E222" s="1">
        <v>938</v>
      </c>
      <c r="F222" s="1">
        <v>96.6</v>
      </c>
      <c r="G222" s="1" t="s">
        <v>101</v>
      </c>
      <c r="H222" s="1">
        <v>643</v>
      </c>
      <c r="I222" s="1" t="s">
        <v>385</v>
      </c>
      <c r="J222" s="2">
        <v>971</v>
      </c>
      <c r="K222" s="3">
        <f>100*J222/C222</f>
        <v>100</v>
      </c>
    </row>
    <row r="223" spans="1:11" x14ac:dyDescent="0.2">
      <c r="A223">
        <v>222</v>
      </c>
      <c r="B223" t="s">
        <v>386</v>
      </c>
      <c r="C223" s="1">
        <v>24</v>
      </c>
      <c r="D223" s="1" t="s">
        <v>173</v>
      </c>
      <c r="E223" s="1">
        <v>24</v>
      </c>
      <c r="F223" s="1">
        <v>100</v>
      </c>
      <c r="G223" s="1" t="s">
        <v>174</v>
      </c>
      <c r="H223" s="1">
        <v>15</v>
      </c>
      <c r="J223" s="1">
        <v>24</v>
      </c>
      <c r="K223" s="3">
        <f>100*J223/C223</f>
        <v>100</v>
      </c>
    </row>
    <row r="224" spans="1:11" x14ac:dyDescent="0.2">
      <c r="A224">
        <v>223</v>
      </c>
      <c r="B224" t="s">
        <v>387</v>
      </c>
      <c r="C224" s="1">
        <v>0</v>
      </c>
      <c r="D224" s="1" t="s">
        <v>539</v>
      </c>
      <c r="E224" s="1" t="s">
        <v>539</v>
      </c>
      <c r="F224" s="1" t="s">
        <v>539</v>
      </c>
      <c r="G224" s="1" t="s">
        <v>539</v>
      </c>
      <c r="H224" s="1" t="s">
        <v>539</v>
      </c>
      <c r="I224" s="1" t="s">
        <v>539</v>
      </c>
      <c r="J224" s="1" t="s">
        <v>539</v>
      </c>
      <c r="K224" s="1" t="s">
        <v>539</v>
      </c>
    </row>
    <row r="225" spans="1:11" x14ac:dyDescent="0.2">
      <c r="A225">
        <v>224</v>
      </c>
      <c r="B225" t="s">
        <v>388</v>
      </c>
      <c r="C225" s="1">
        <v>1107</v>
      </c>
      <c r="D225" s="1" t="s">
        <v>100</v>
      </c>
      <c r="E225" s="1">
        <v>1054</v>
      </c>
      <c r="F225" s="1">
        <v>95.2</v>
      </c>
      <c r="G225" s="1" t="s">
        <v>389</v>
      </c>
      <c r="H225" s="1">
        <v>669</v>
      </c>
      <c r="I225" s="1" t="s">
        <v>390</v>
      </c>
      <c r="J225" s="2">
        <v>1107</v>
      </c>
      <c r="K225" s="3">
        <f>100*J225/C225</f>
        <v>100</v>
      </c>
    </row>
    <row r="226" spans="1:11" x14ac:dyDescent="0.2">
      <c r="A226">
        <v>225</v>
      </c>
      <c r="B226" t="s">
        <v>391</v>
      </c>
      <c r="C226" s="1">
        <v>658</v>
      </c>
      <c r="D226" s="1" t="s">
        <v>118</v>
      </c>
      <c r="E226" s="1">
        <v>658</v>
      </c>
      <c r="F226" s="1">
        <v>100</v>
      </c>
      <c r="G226" s="1" t="s">
        <v>392</v>
      </c>
      <c r="H226" s="1">
        <v>410</v>
      </c>
      <c r="J226" s="1">
        <v>658</v>
      </c>
      <c r="K226" s="3">
        <f>100*J226/C226</f>
        <v>100</v>
      </c>
    </row>
    <row r="227" spans="1:11" x14ac:dyDescent="0.2">
      <c r="A227">
        <v>226</v>
      </c>
      <c r="B227" t="s">
        <v>393</v>
      </c>
      <c r="C227" s="1">
        <v>52</v>
      </c>
      <c r="D227" s="1" t="s">
        <v>100</v>
      </c>
      <c r="E227" s="1">
        <v>50</v>
      </c>
      <c r="F227" s="1">
        <v>96.2</v>
      </c>
      <c r="G227" s="1" t="s">
        <v>101</v>
      </c>
      <c r="H227" s="1">
        <v>31</v>
      </c>
      <c r="I227" s="1" t="s">
        <v>276</v>
      </c>
      <c r="J227" s="2">
        <v>52</v>
      </c>
      <c r="K227" s="3">
        <f>100*J227/C227</f>
        <v>100</v>
      </c>
    </row>
    <row r="228" spans="1:11" x14ac:dyDescent="0.2">
      <c r="A228">
        <v>227</v>
      </c>
      <c r="B228" t="s">
        <v>394</v>
      </c>
      <c r="C228" s="1">
        <v>113</v>
      </c>
      <c r="D228" s="1" t="s">
        <v>86</v>
      </c>
      <c r="E228" s="1">
        <v>113</v>
      </c>
      <c r="F228" s="1">
        <v>100</v>
      </c>
      <c r="G228" s="1" t="s">
        <v>122</v>
      </c>
      <c r="H228" s="1">
        <v>109</v>
      </c>
      <c r="J228" s="1">
        <v>113</v>
      </c>
      <c r="K228" s="3">
        <f>100*J228/C228</f>
        <v>100</v>
      </c>
    </row>
    <row r="229" spans="1:11" x14ac:dyDescent="0.2">
      <c r="A229">
        <v>228</v>
      </c>
      <c r="B229" t="s">
        <v>395</v>
      </c>
      <c r="C229" s="1">
        <v>130</v>
      </c>
      <c r="D229" s="1" t="s">
        <v>118</v>
      </c>
      <c r="E229" s="1">
        <v>130</v>
      </c>
      <c r="F229" s="1">
        <v>100</v>
      </c>
      <c r="G229" s="1" t="s">
        <v>309</v>
      </c>
      <c r="H229" s="1">
        <v>43</v>
      </c>
      <c r="J229" s="1">
        <v>130</v>
      </c>
      <c r="K229" s="3">
        <f>100*J229/C229</f>
        <v>100</v>
      </c>
    </row>
    <row r="230" spans="1:11" x14ac:dyDescent="0.2">
      <c r="A230">
        <v>229</v>
      </c>
      <c r="B230" t="s">
        <v>396</v>
      </c>
      <c r="C230" s="1">
        <v>0</v>
      </c>
      <c r="D230" s="1" t="s">
        <v>539</v>
      </c>
      <c r="E230" s="1" t="s">
        <v>539</v>
      </c>
      <c r="F230" s="1" t="s">
        <v>539</v>
      </c>
      <c r="G230" s="1" t="s">
        <v>539</v>
      </c>
      <c r="H230" s="1" t="s">
        <v>539</v>
      </c>
      <c r="I230" s="1" t="s">
        <v>539</v>
      </c>
      <c r="J230" s="1" t="s">
        <v>539</v>
      </c>
      <c r="K230" s="1" t="s">
        <v>539</v>
      </c>
    </row>
    <row r="231" spans="1:11" x14ac:dyDescent="0.2">
      <c r="A231">
        <v>230</v>
      </c>
      <c r="B231" t="s">
        <v>397</v>
      </c>
      <c r="C231" s="1">
        <v>3</v>
      </c>
      <c r="D231" s="1" t="s">
        <v>118</v>
      </c>
      <c r="E231" s="1">
        <v>3</v>
      </c>
      <c r="F231" s="1">
        <v>100</v>
      </c>
      <c r="G231" s="1" t="s">
        <v>18</v>
      </c>
      <c r="H231" s="1">
        <v>1</v>
      </c>
      <c r="J231" s="1">
        <v>3</v>
      </c>
      <c r="K231" s="3">
        <f>100*J231/C231</f>
        <v>100</v>
      </c>
    </row>
    <row r="232" spans="1:11" x14ac:dyDescent="0.2">
      <c r="A232">
        <v>231</v>
      </c>
      <c r="B232" t="s">
        <v>398</v>
      </c>
      <c r="C232" s="1">
        <v>0</v>
      </c>
      <c r="D232" s="1" t="s">
        <v>539</v>
      </c>
      <c r="E232" s="1" t="s">
        <v>539</v>
      </c>
      <c r="F232" s="1" t="s">
        <v>539</v>
      </c>
      <c r="G232" s="1" t="s">
        <v>539</v>
      </c>
      <c r="H232" s="1" t="s">
        <v>539</v>
      </c>
      <c r="I232" s="1" t="s">
        <v>539</v>
      </c>
      <c r="J232" s="1" t="s">
        <v>539</v>
      </c>
      <c r="K232" s="1" t="s">
        <v>539</v>
      </c>
    </row>
    <row r="233" spans="1:11" x14ac:dyDescent="0.2">
      <c r="A233">
        <v>232</v>
      </c>
      <c r="B233" t="s">
        <v>399</v>
      </c>
      <c r="C233" s="1">
        <v>94</v>
      </c>
      <c r="D233" s="1" t="s">
        <v>118</v>
      </c>
      <c r="E233" s="1">
        <v>94</v>
      </c>
      <c r="F233" s="1">
        <v>100</v>
      </c>
      <c r="G233" s="1" t="s">
        <v>309</v>
      </c>
      <c r="H233" s="1">
        <v>30</v>
      </c>
      <c r="J233" s="1">
        <v>94</v>
      </c>
      <c r="K233" s="3">
        <f>100*J233/C233</f>
        <v>100</v>
      </c>
    </row>
    <row r="234" spans="1:11" x14ac:dyDescent="0.2">
      <c r="A234">
        <v>233</v>
      </c>
      <c r="B234" t="s">
        <v>400</v>
      </c>
      <c r="C234" s="1">
        <v>111</v>
      </c>
      <c r="D234" s="1" t="s">
        <v>118</v>
      </c>
      <c r="E234" s="1">
        <v>111</v>
      </c>
      <c r="F234" s="1">
        <v>100</v>
      </c>
      <c r="G234" s="1" t="s">
        <v>368</v>
      </c>
      <c r="H234" s="1">
        <v>37</v>
      </c>
      <c r="J234" s="1">
        <v>111</v>
      </c>
      <c r="K234" s="3">
        <f>100*J234/C234</f>
        <v>100</v>
      </c>
    </row>
    <row r="235" spans="1:11" x14ac:dyDescent="0.2">
      <c r="A235">
        <v>234</v>
      </c>
      <c r="B235" t="s">
        <v>401</v>
      </c>
      <c r="C235" s="1">
        <v>38</v>
      </c>
      <c r="D235" s="1" t="s">
        <v>100</v>
      </c>
      <c r="E235" s="1">
        <v>38</v>
      </c>
      <c r="F235" s="1">
        <v>100</v>
      </c>
      <c r="G235" s="1" t="s">
        <v>389</v>
      </c>
      <c r="H235" s="1">
        <v>21</v>
      </c>
      <c r="J235" s="1">
        <v>38</v>
      </c>
      <c r="K235" s="3">
        <f>100*J235/C235</f>
        <v>100</v>
      </c>
    </row>
    <row r="236" spans="1:11" x14ac:dyDescent="0.2">
      <c r="A236">
        <v>235</v>
      </c>
      <c r="B236" t="s">
        <v>402</v>
      </c>
      <c r="C236" s="1">
        <v>1</v>
      </c>
      <c r="D236" s="1" t="s">
        <v>118</v>
      </c>
      <c r="E236" s="1">
        <v>1</v>
      </c>
      <c r="F236" s="1">
        <v>100</v>
      </c>
      <c r="G236" s="1" t="s">
        <v>403</v>
      </c>
      <c r="H236" s="1">
        <v>1</v>
      </c>
      <c r="J236" s="1">
        <v>1</v>
      </c>
      <c r="K236" s="3">
        <f>100*J236/C236</f>
        <v>100</v>
      </c>
    </row>
    <row r="237" spans="1:11" x14ac:dyDescent="0.2">
      <c r="A237">
        <v>236</v>
      </c>
      <c r="B237" t="s">
        <v>404</v>
      </c>
      <c r="C237" s="1">
        <v>0</v>
      </c>
      <c r="D237" s="1" t="s">
        <v>539</v>
      </c>
      <c r="E237" s="1" t="s">
        <v>539</v>
      </c>
      <c r="F237" s="1" t="s">
        <v>539</v>
      </c>
      <c r="G237" s="1" t="s">
        <v>539</v>
      </c>
      <c r="H237" s="1" t="s">
        <v>539</v>
      </c>
      <c r="I237" s="1" t="s">
        <v>539</v>
      </c>
      <c r="J237" s="1" t="s">
        <v>539</v>
      </c>
      <c r="K237" s="1" t="s">
        <v>539</v>
      </c>
    </row>
    <row r="238" spans="1:11" x14ac:dyDescent="0.2">
      <c r="A238">
        <v>237</v>
      </c>
      <c r="B238" t="s">
        <v>405</v>
      </c>
      <c r="C238" s="1">
        <v>57</v>
      </c>
      <c r="D238" s="1" t="s">
        <v>118</v>
      </c>
      <c r="E238" s="1">
        <v>57</v>
      </c>
      <c r="F238" s="1">
        <v>100</v>
      </c>
      <c r="G238" s="1" t="s">
        <v>368</v>
      </c>
      <c r="H238" s="1">
        <v>21</v>
      </c>
      <c r="J238" s="1">
        <v>57</v>
      </c>
      <c r="K238" s="3">
        <f>100*J238/C238</f>
        <v>100</v>
      </c>
    </row>
    <row r="239" spans="1:11" x14ac:dyDescent="0.2">
      <c r="A239">
        <v>238</v>
      </c>
      <c r="B239" t="s">
        <v>406</v>
      </c>
      <c r="C239" s="1">
        <v>101</v>
      </c>
      <c r="D239" s="1" t="s">
        <v>118</v>
      </c>
      <c r="E239" s="1">
        <v>101</v>
      </c>
      <c r="F239" s="1">
        <v>100</v>
      </c>
      <c r="G239" s="1" t="s">
        <v>407</v>
      </c>
      <c r="H239" s="1">
        <v>99</v>
      </c>
      <c r="J239" s="1">
        <v>101</v>
      </c>
      <c r="K239" s="3">
        <f>100*J239/C239</f>
        <v>100</v>
      </c>
    </row>
    <row r="240" spans="1:11" x14ac:dyDescent="0.2">
      <c r="A240">
        <v>239</v>
      </c>
      <c r="B240" t="s">
        <v>408</v>
      </c>
      <c r="C240" s="1">
        <v>122</v>
      </c>
      <c r="D240" s="1" t="s">
        <v>100</v>
      </c>
      <c r="E240" s="1">
        <v>118</v>
      </c>
      <c r="F240" s="1">
        <v>96.7</v>
      </c>
      <c r="G240" s="1" t="s">
        <v>101</v>
      </c>
      <c r="H240" s="1">
        <v>67</v>
      </c>
      <c r="I240" s="1" t="s">
        <v>409</v>
      </c>
      <c r="J240" s="2">
        <v>122</v>
      </c>
      <c r="K240" s="3">
        <f>100*J240/C240</f>
        <v>100</v>
      </c>
    </row>
    <row r="241" spans="1:11" x14ac:dyDescent="0.2">
      <c r="A241">
        <v>240</v>
      </c>
      <c r="B241" t="s">
        <v>410</v>
      </c>
      <c r="C241" s="1">
        <v>0</v>
      </c>
      <c r="D241" s="1" t="s">
        <v>539</v>
      </c>
      <c r="E241" s="1" t="s">
        <v>539</v>
      </c>
      <c r="F241" s="1" t="s">
        <v>539</v>
      </c>
      <c r="G241" s="1" t="s">
        <v>539</v>
      </c>
      <c r="H241" s="1" t="s">
        <v>539</v>
      </c>
      <c r="I241" s="1" t="s">
        <v>539</v>
      </c>
      <c r="J241" s="1" t="s">
        <v>539</v>
      </c>
      <c r="K241" s="1" t="s">
        <v>539</v>
      </c>
    </row>
    <row r="242" spans="1:11" x14ac:dyDescent="0.2">
      <c r="A242">
        <v>241</v>
      </c>
      <c r="B242" t="s">
        <v>411</v>
      </c>
      <c r="C242" s="1">
        <v>850</v>
      </c>
      <c r="D242" s="1" t="s">
        <v>118</v>
      </c>
      <c r="E242" s="1">
        <v>850</v>
      </c>
      <c r="F242" s="1">
        <v>100</v>
      </c>
      <c r="G242" s="1" t="s">
        <v>365</v>
      </c>
      <c r="H242" s="1">
        <v>204</v>
      </c>
      <c r="J242" s="1">
        <v>850</v>
      </c>
      <c r="K242" s="3">
        <f t="shared" ref="K242:K247" si="11">100*J242/C242</f>
        <v>100</v>
      </c>
    </row>
    <row r="243" spans="1:11" x14ac:dyDescent="0.2">
      <c r="A243">
        <v>242</v>
      </c>
      <c r="B243" t="s">
        <v>412</v>
      </c>
      <c r="C243" s="1">
        <v>40</v>
      </c>
      <c r="D243" s="1" t="s">
        <v>100</v>
      </c>
      <c r="E243" s="1">
        <v>40</v>
      </c>
      <c r="F243" s="1">
        <v>100</v>
      </c>
      <c r="G243" s="1" t="s">
        <v>389</v>
      </c>
      <c r="H243" s="1">
        <v>26</v>
      </c>
      <c r="J243" s="1">
        <v>40</v>
      </c>
      <c r="K243" s="3">
        <f t="shared" si="11"/>
        <v>100</v>
      </c>
    </row>
    <row r="244" spans="1:11" x14ac:dyDescent="0.2">
      <c r="A244">
        <v>243</v>
      </c>
      <c r="B244" t="s">
        <v>413</v>
      </c>
      <c r="C244" s="1">
        <v>34</v>
      </c>
      <c r="D244" s="1" t="s">
        <v>100</v>
      </c>
      <c r="E244" s="1">
        <v>31</v>
      </c>
      <c r="F244" s="1">
        <v>91.2</v>
      </c>
      <c r="G244" s="1" t="s">
        <v>101</v>
      </c>
      <c r="H244" s="1">
        <v>27</v>
      </c>
      <c r="I244" s="1" t="s">
        <v>414</v>
      </c>
      <c r="J244" s="2">
        <v>34</v>
      </c>
      <c r="K244" s="3">
        <f t="shared" si="11"/>
        <v>100</v>
      </c>
    </row>
    <row r="245" spans="1:11" x14ac:dyDescent="0.2">
      <c r="A245">
        <v>244</v>
      </c>
      <c r="B245" t="s">
        <v>415</v>
      </c>
      <c r="C245" s="1">
        <v>16</v>
      </c>
      <c r="D245" s="1" t="s">
        <v>416</v>
      </c>
      <c r="E245" s="1">
        <v>16</v>
      </c>
      <c r="F245" s="1">
        <v>100</v>
      </c>
      <c r="G245" s="1" t="s">
        <v>417</v>
      </c>
      <c r="H245" s="1">
        <v>15</v>
      </c>
      <c r="J245" s="1">
        <v>16</v>
      </c>
      <c r="K245" s="3">
        <f t="shared" si="11"/>
        <v>100</v>
      </c>
    </row>
    <row r="246" spans="1:11" x14ac:dyDescent="0.2">
      <c r="A246">
        <v>245</v>
      </c>
      <c r="B246" t="s">
        <v>418</v>
      </c>
      <c r="C246" s="1">
        <v>2</v>
      </c>
      <c r="D246" s="1" t="s">
        <v>419</v>
      </c>
      <c r="E246" s="1">
        <v>2</v>
      </c>
      <c r="F246" s="1">
        <v>100</v>
      </c>
      <c r="G246" s="1" t="s">
        <v>420</v>
      </c>
      <c r="H246" s="1">
        <v>2</v>
      </c>
      <c r="J246" s="1">
        <v>2</v>
      </c>
      <c r="K246" s="3">
        <f t="shared" si="11"/>
        <v>100</v>
      </c>
    </row>
    <row r="247" spans="1:11" x14ac:dyDescent="0.2">
      <c r="A247">
        <v>246</v>
      </c>
      <c r="B247" t="s">
        <v>421</v>
      </c>
      <c r="C247" s="1">
        <v>6</v>
      </c>
      <c r="D247" s="1" t="s">
        <v>118</v>
      </c>
      <c r="E247" s="1">
        <v>6</v>
      </c>
      <c r="F247" s="1">
        <v>100</v>
      </c>
      <c r="G247" s="1" t="s">
        <v>339</v>
      </c>
      <c r="H247" s="1">
        <v>2</v>
      </c>
      <c r="J247" s="1">
        <v>6</v>
      </c>
      <c r="K247" s="3">
        <f t="shared" si="11"/>
        <v>100</v>
      </c>
    </row>
    <row r="248" spans="1:11" x14ac:dyDescent="0.2">
      <c r="A248">
        <v>247</v>
      </c>
      <c r="B248" t="s">
        <v>422</v>
      </c>
      <c r="C248" s="1">
        <v>0</v>
      </c>
      <c r="D248" s="1" t="s">
        <v>539</v>
      </c>
      <c r="E248" s="1" t="s">
        <v>539</v>
      </c>
      <c r="F248" s="1" t="s">
        <v>539</v>
      </c>
      <c r="G248" s="1" t="s">
        <v>539</v>
      </c>
      <c r="H248" s="1" t="s">
        <v>539</v>
      </c>
      <c r="I248" s="1" t="s">
        <v>539</v>
      </c>
      <c r="J248" s="1" t="s">
        <v>539</v>
      </c>
      <c r="K248" s="1" t="s">
        <v>539</v>
      </c>
    </row>
    <row r="249" spans="1:11" x14ac:dyDescent="0.2">
      <c r="A249">
        <v>248</v>
      </c>
      <c r="B249" t="s">
        <v>423</v>
      </c>
      <c r="C249" s="1">
        <v>0</v>
      </c>
      <c r="D249" s="1" t="s">
        <v>539</v>
      </c>
      <c r="E249" s="1" t="s">
        <v>539</v>
      </c>
      <c r="F249" s="1" t="s">
        <v>539</v>
      </c>
      <c r="G249" s="1" t="s">
        <v>539</v>
      </c>
      <c r="H249" s="1" t="s">
        <v>539</v>
      </c>
      <c r="I249" s="1" t="s">
        <v>539</v>
      </c>
      <c r="J249" s="1" t="s">
        <v>539</v>
      </c>
      <c r="K249" s="1" t="s">
        <v>539</v>
      </c>
    </row>
    <row r="250" spans="1:11" x14ac:dyDescent="0.2">
      <c r="A250">
        <v>249</v>
      </c>
      <c r="B250" t="s">
        <v>424</v>
      </c>
      <c r="C250" s="1">
        <v>0</v>
      </c>
      <c r="D250" s="1" t="s">
        <v>539</v>
      </c>
      <c r="E250" s="1" t="s">
        <v>539</v>
      </c>
      <c r="F250" s="1" t="s">
        <v>539</v>
      </c>
      <c r="G250" s="1" t="s">
        <v>539</v>
      </c>
      <c r="H250" s="1" t="s">
        <v>539</v>
      </c>
      <c r="I250" s="1" t="s">
        <v>539</v>
      </c>
      <c r="J250" s="1" t="s">
        <v>539</v>
      </c>
      <c r="K250" s="1" t="s">
        <v>539</v>
      </c>
    </row>
    <row r="251" spans="1:11" x14ac:dyDescent="0.2">
      <c r="A251">
        <v>250</v>
      </c>
      <c r="B251" t="s">
        <v>425</v>
      </c>
      <c r="C251" s="1">
        <v>1587</v>
      </c>
      <c r="D251" s="1" t="s">
        <v>100</v>
      </c>
      <c r="E251" s="1">
        <v>1505</v>
      </c>
      <c r="F251" s="1">
        <v>94.8</v>
      </c>
      <c r="G251" s="1" t="s">
        <v>101</v>
      </c>
      <c r="H251" s="1">
        <v>1051</v>
      </c>
      <c r="I251" s="1" t="s">
        <v>426</v>
      </c>
      <c r="J251" s="2">
        <v>1587</v>
      </c>
      <c r="K251" s="3">
        <f t="shared" ref="K251:K260" si="12">100*J251/C251</f>
        <v>100</v>
      </c>
    </row>
    <row r="252" spans="1:11" x14ac:dyDescent="0.2">
      <c r="A252">
        <v>251</v>
      </c>
      <c r="B252" t="s">
        <v>427</v>
      </c>
      <c r="C252" s="1">
        <v>9</v>
      </c>
      <c r="D252" s="1" t="s">
        <v>118</v>
      </c>
      <c r="E252" s="1">
        <v>9</v>
      </c>
      <c r="F252" s="1">
        <v>100</v>
      </c>
      <c r="G252" s="1" t="s">
        <v>365</v>
      </c>
      <c r="H252" s="1">
        <v>3</v>
      </c>
      <c r="J252" s="1">
        <v>9</v>
      </c>
      <c r="K252" s="3">
        <f t="shared" si="12"/>
        <v>100</v>
      </c>
    </row>
    <row r="253" spans="1:11" x14ac:dyDescent="0.2">
      <c r="A253">
        <v>252</v>
      </c>
      <c r="B253" t="s">
        <v>428</v>
      </c>
      <c r="C253" s="1">
        <v>41</v>
      </c>
      <c r="D253" s="1" t="s">
        <v>118</v>
      </c>
      <c r="E253" s="1">
        <v>41</v>
      </c>
      <c r="F253" s="1">
        <v>100</v>
      </c>
      <c r="G253" s="1" t="s">
        <v>339</v>
      </c>
      <c r="H253" s="1">
        <v>36</v>
      </c>
      <c r="J253" s="1">
        <v>41</v>
      </c>
      <c r="K253" s="3">
        <f t="shared" si="12"/>
        <v>100</v>
      </c>
    </row>
    <row r="254" spans="1:11" x14ac:dyDescent="0.2">
      <c r="A254">
        <v>253</v>
      </c>
      <c r="B254" t="s">
        <v>429</v>
      </c>
      <c r="C254" s="1">
        <v>30</v>
      </c>
      <c r="D254" s="1" t="s">
        <v>100</v>
      </c>
      <c r="E254" s="1">
        <v>26</v>
      </c>
      <c r="F254" s="1">
        <v>86.7</v>
      </c>
      <c r="G254" s="1" t="s">
        <v>389</v>
      </c>
      <c r="H254" s="1">
        <v>17</v>
      </c>
      <c r="I254" s="1" t="s">
        <v>409</v>
      </c>
      <c r="J254" s="2">
        <v>30</v>
      </c>
      <c r="K254" s="3">
        <f t="shared" si="12"/>
        <v>100</v>
      </c>
    </row>
    <row r="255" spans="1:11" x14ac:dyDescent="0.2">
      <c r="A255">
        <v>254</v>
      </c>
      <c r="B255" t="s">
        <v>430</v>
      </c>
      <c r="C255" s="1">
        <v>85</v>
      </c>
      <c r="D255" s="1" t="s">
        <v>118</v>
      </c>
      <c r="E255" s="1">
        <v>85</v>
      </c>
      <c r="F255" s="1">
        <v>100</v>
      </c>
      <c r="G255" s="1" t="s">
        <v>431</v>
      </c>
      <c r="H255" s="1">
        <v>18</v>
      </c>
      <c r="J255" s="1">
        <v>85</v>
      </c>
      <c r="K255" s="3">
        <f t="shared" si="12"/>
        <v>100</v>
      </c>
    </row>
    <row r="256" spans="1:11" x14ac:dyDescent="0.2">
      <c r="A256">
        <v>255</v>
      </c>
      <c r="B256" t="s">
        <v>432</v>
      </c>
      <c r="C256" s="1">
        <v>4198</v>
      </c>
      <c r="D256" s="1" t="s">
        <v>100</v>
      </c>
      <c r="E256" s="1">
        <v>4028</v>
      </c>
      <c r="F256" s="1">
        <v>96</v>
      </c>
      <c r="G256" s="1" t="s">
        <v>101</v>
      </c>
      <c r="H256" s="1">
        <v>2847</v>
      </c>
      <c r="I256" s="1" t="s">
        <v>433</v>
      </c>
      <c r="J256" s="2">
        <v>4198</v>
      </c>
      <c r="K256" s="3">
        <f t="shared" si="12"/>
        <v>100</v>
      </c>
    </row>
    <row r="257" spans="1:11" x14ac:dyDescent="0.2">
      <c r="A257">
        <v>256</v>
      </c>
      <c r="B257" t="s">
        <v>434</v>
      </c>
      <c r="C257" s="1">
        <v>59</v>
      </c>
      <c r="D257" s="1" t="s">
        <v>118</v>
      </c>
      <c r="E257" s="1">
        <v>59</v>
      </c>
      <c r="F257" s="1">
        <v>100</v>
      </c>
      <c r="G257" s="1" t="s">
        <v>435</v>
      </c>
      <c r="H257" s="1">
        <v>37</v>
      </c>
      <c r="J257" s="1">
        <v>59</v>
      </c>
      <c r="K257" s="3">
        <f t="shared" si="12"/>
        <v>100</v>
      </c>
    </row>
    <row r="258" spans="1:11" x14ac:dyDescent="0.2">
      <c r="A258">
        <v>257</v>
      </c>
      <c r="B258" t="s">
        <v>436</v>
      </c>
      <c r="C258" s="1">
        <v>3444</v>
      </c>
      <c r="D258" s="1" t="s">
        <v>118</v>
      </c>
      <c r="E258" s="1">
        <v>3444</v>
      </c>
      <c r="F258" s="1">
        <v>100</v>
      </c>
      <c r="G258" s="1" t="s">
        <v>392</v>
      </c>
      <c r="H258" s="1">
        <v>2072</v>
      </c>
      <c r="J258" s="1">
        <v>3444</v>
      </c>
      <c r="K258" s="3">
        <f t="shared" si="12"/>
        <v>100</v>
      </c>
    </row>
    <row r="259" spans="1:11" x14ac:dyDescent="0.2">
      <c r="A259">
        <v>258</v>
      </c>
      <c r="B259" t="s">
        <v>437</v>
      </c>
      <c r="C259" s="1">
        <v>1</v>
      </c>
      <c r="D259" s="1" t="s">
        <v>118</v>
      </c>
      <c r="E259" s="1">
        <v>1</v>
      </c>
      <c r="F259" s="1">
        <v>100</v>
      </c>
      <c r="G259" s="1" t="s">
        <v>18</v>
      </c>
      <c r="H259" s="1">
        <v>1</v>
      </c>
      <c r="J259" s="1">
        <v>1</v>
      </c>
      <c r="K259" s="3">
        <f t="shared" si="12"/>
        <v>100</v>
      </c>
    </row>
    <row r="260" spans="1:11" x14ac:dyDescent="0.2">
      <c r="A260">
        <v>259</v>
      </c>
      <c r="B260" t="s">
        <v>438</v>
      </c>
      <c r="C260" s="1">
        <v>13</v>
      </c>
      <c r="D260" s="1" t="s">
        <v>86</v>
      </c>
      <c r="E260" s="1">
        <v>13</v>
      </c>
      <c r="F260" s="1">
        <v>100</v>
      </c>
      <c r="G260" s="1" t="s">
        <v>439</v>
      </c>
      <c r="H260" s="1">
        <v>11</v>
      </c>
      <c r="J260" s="1">
        <v>13</v>
      </c>
      <c r="K260" s="3">
        <f t="shared" si="12"/>
        <v>100</v>
      </c>
    </row>
    <row r="261" spans="1:11" x14ac:dyDescent="0.2">
      <c r="A261">
        <v>260</v>
      </c>
      <c r="B261" t="s">
        <v>440</v>
      </c>
      <c r="C261" s="1">
        <v>0</v>
      </c>
      <c r="D261" s="1" t="s">
        <v>539</v>
      </c>
      <c r="E261" s="1" t="s">
        <v>539</v>
      </c>
      <c r="F261" s="1" t="s">
        <v>539</v>
      </c>
      <c r="G261" s="1" t="s">
        <v>539</v>
      </c>
      <c r="H261" s="1" t="s">
        <v>539</v>
      </c>
      <c r="I261" s="1" t="s">
        <v>539</v>
      </c>
      <c r="J261" s="1" t="s">
        <v>539</v>
      </c>
      <c r="K261" s="1" t="s">
        <v>539</v>
      </c>
    </row>
    <row r="262" spans="1:11" x14ac:dyDescent="0.2">
      <c r="A262">
        <v>261</v>
      </c>
      <c r="B262" t="s">
        <v>441</v>
      </c>
      <c r="C262" s="1">
        <v>401</v>
      </c>
      <c r="D262" s="1" t="s">
        <v>118</v>
      </c>
      <c r="E262" s="1">
        <v>401</v>
      </c>
      <c r="F262" s="1">
        <v>100</v>
      </c>
      <c r="G262" s="1" t="s">
        <v>339</v>
      </c>
      <c r="H262" s="1">
        <v>321</v>
      </c>
      <c r="J262" s="1">
        <v>401</v>
      </c>
      <c r="K262" s="3">
        <f t="shared" ref="K262:K269" si="13">100*J262/C262</f>
        <v>100</v>
      </c>
    </row>
    <row r="263" spans="1:11" x14ac:dyDescent="0.2">
      <c r="A263">
        <v>262</v>
      </c>
      <c r="B263" t="s">
        <v>442</v>
      </c>
      <c r="C263" s="1">
        <v>1055</v>
      </c>
      <c r="D263" s="1" t="s">
        <v>86</v>
      </c>
      <c r="E263" s="1">
        <v>1051</v>
      </c>
      <c r="F263" s="1">
        <v>99.6</v>
      </c>
      <c r="G263" s="1" t="s">
        <v>443</v>
      </c>
      <c r="H263" s="1">
        <v>1051</v>
      </c>
      <c r="I263" s="1" t="s">
        <v>444</v>
      </c>
      <c r="J263" s="2">
        <v>1055</v>
      </c>
      <c r="K263" s="3">
        <f t="shared" si="13"/>
        <v>100</v>
      </c>
    </row>
    <row r="264" spans="1:11" x14ac:dyDescent="0.2">
      <c r="A264">
        <v>263</v>
      </c>
      <c r="B264" t="s">
        <v>445</v>
      </c>
      <c r="C264" s="1">
        <v>668</v>
      </c>
      <c r="D264" s="1" t="s">
        <v>118</v>
      </c>
      <c r="E264" s="1">
        <v>668</v>
      </c>
      <c r="F264" s="1">
        <v>100</v>
      </c>
      <c r="G264" s="1" t="s">
        <v>304</v>
      </c>
      <c r="H264" s="1">
        <v>131</v>
      </c>
      <c r="J264" s="1">
        <v>668</v>
      </c>
      <c r="K264" s="3">
        <f t="shared" si="13"/>
        <v>100</v>
      </c>
    </row>
    <row r="265" spans="1:11" x14ac:dyDescent="0.2">
      <c r="A265">
        <v>264</v>
      </c>
      <c r="B265" t="s">
        <v>446</v>
      </c>
      <c r="C265" s="1">
        <v>59</v>
      </c>
      <c r="D265" s="1" t="s">
        <v>100</v>
      </c>
      <c r="E265" s="1">
        <v>55</v>
      </c>
      <c r="F265" s="1">
        <v>93.2</v>
      </c>
      <c r="G265" s="1" t="s">
        <v>101</v>
      </c>
      <c r="H265" s="1">
        <v>40</v>
      </c>
      <c r="I265" s="1" t="s">
        <v>409</v>
      </c>
      <c r="J265" s="2">
        <v>59</v>
      </c>
      <c r="K265" s="3">
        <f t="shared" si="13"/>
        <v>100</v>
      </c>
    </row>
    <row r="266" spans="1:11" x14ac:dyDescent="0.2">
      <c r="A266">
        <v>265</v>
      </c>
      <c r="B266" t="s">
        <v>447</v>
      </c>
      <c r="C266" s="1">
        <v>698</v>
      </c>
      <c r="D266" s="1" t="s">
        <v>86</v>
      </c>
      <c r="E266" s="1">
        <v>686</v>
      </c>
      <c r="F266" s="1">
        <v>98.3</v>
      </c>
      <c r="G266" s="1" t="s">
        <v>168</v>
      </c>
      <c r="H266" s="1">
        <v>267</v>
      </c>
      <c r="I266" s="1" t="s">
        <v>448</v>
      </c>
      <c r="J266" s="2">
        <v>698</v>
      </c>
      <c r="K266" s="3">
        <f t="shared" si="13"/>
        <v>100</v>
      </c>
    </row>
    <row r="267" spans="1:11" x14ac:dyDescent="0.2">
      <c r="A267">
        <v>266</v>
      </c>
      <c r="B267" t="s">
        <v>449</v>
      </c>
      <c r="C267" s="1">
        <v>2</v>
      </c>
      <c r="D267" s="1" t="s">
        <v>100</v>
      </c>
      <c r="E267" s="1">
        <v>2</v>
      </c>
      <c r="F267" s="1">
        <v>100</v>
      </c>
      <c r="G267" s="1" t="s">
        <v>450</v>
      </c>
      <c r="H267" s="1">
        <v>2</v>
      </c>
      <c r="J267" s="1">
        <v>2</v>
      </c>
      <c r="K267" s="3">
        <f t="shared" si="13"/>
        <v>100</v>
      </c>
    </row>
    <row r="268" spans="1:11" x14ac:dyDescent="0.2">
      <c r="A268">
        <v>267</v>
      </c>
      <c r="B268" t="s">
        <v>451</v>
      </c>
      <c r="C268" s="1">
        <v>128</v>
      </c>
      <c r="D268" s="1" t="s">
        <v>118</v>
      </c>
      <c r="E268" s="1">
        <v>128</v>
      </c>
      <c r="F268" s="1">
        <v>100</v>
      </c>
      <c r="G268" s="1" t="s">
        <v>318</v>
      </c>
      <c r="H268" s="1">
        <v>83</v>
      </c>
      <c r="J268" s="1">
        <v>128</v>
      </c>
      <c r="K268" s="3">
        <f t="shared" si="13"/>
        <v>100</v>
      </c>
    </row>
    <row r="269" spans="1:11" x14ac:dyDescent="0.2">
      <c r="A269">
        <v>268</v>
      </c>
      <c r="B269" t="s">
        <v>452</v>
      </c>
      <c r="C269" s="1">
        <v>203</v>
      </c>
      <c r="D269" s="1" t="s">
        <v>176</v>
      </c>
      <c r="E269" s="1">
        <v>203</v>
      </c>
      <c r="F269" s="1">
        <v>100</v>
      </c>
      <c r="G269" s="1" t="s">
        <v>453</v>
      </c>
      <c r="H269" s="1">
        <v>200</v>
      </c>
      <c r="J269" s="1">
        <v>203</v>
      </c>
      <c r="K269" s="3">
        <f t="shared" si="13"/>
        <v>100</v>
      </c>
    </row>
    <row r="270" spans="1:11" x14ac:dyDescent="0.2">
      <c r="A270">
        <v>269</v>
      </c>
      <c r="B270" t="s">
        <v>454</v>
      </c>
      <c r="C270" s="1">
        <v>0</v>
      </c>
      <c r="D270" s="1" t="s">
        <v>539</v>
      </c>
      <c r="E270" s="1" t="s">
        <v>539</v>
      </c>
      <c r="F270" s="1" t="s">
        <v>539</v>
      </c>
      <c r="G270" s="1" t="s">
        <v>539</v>
      </c>
      <c r="H270" s="1" t="s">
        <v>539</v>
      </c>
      <c r="I270" s="1" t="s">
        <v>539</v>
      </c>
      <c r="J270" s="1" t="s">
        <v>539</v>
      </c>
      <c r="K270" s="1" t="s">
        <v>539</v>
      </c>
    </row>
    <row r="271" spans="1:11" x14ac:dyDescent="0.2">
      <c r="A271">
        <v>270</v>
      </c>
      <c r="B271" t="s">
        <v>455</v>
      </c>
      <c r="C271" s="1">
        <v>50</v>
      </c>
      <c r="D271" s="1" t="s">
        <v>100</v>
      </c>
      <c r="E271" s="1">
        <v>49</v>
      </c>
      <c r="F271" s="1">
        <v>98</v>
      </c>
      <c r="G271" s="1" t="s">
        <v>101</v>
      </c>
      <c r="H271" s="1">
        <v>33</v>
      </c>
      <c r="I271" s="1" t="s">
        <v>456</v>
      </c>
      <c r="J271" s="2">
        <v>50</v>
      </c>
      <c r="K271" s="3">
        <f t="shared" ref="K271:K284" si="14">100*J271/C271</f>
        <v>100</v>
      </c>
    </row>
    <row r="272" spans="1:11" x14ac:dyDescent="0.2">
      <c r="A272">
        <v>271</v>
      </c>
      <c r="B272" t="s">
        <v>457</v>
      </c>
      <c r="C272" s="1">
        <v>1150</v>
      </c>
      <c r="D272" s="1" t="s">
        <v>100</v>
      </c>
      <c r="E272" s="1">
        <v>1104</v>
      </c>
      <c r="F272" s="1">
        <v>96</v>
      </c>
      <c r="G272" s="1" t="s">
        <v>101</v>
      </c>
      <c r="H272" s="1">
        <v>783</v>
      </c>
      <c r="I272" s="1" t="s">
        <v>458</v>
      </c>
      <c r="J272" s="2">
        <v>1149</v>
      </c>
      <c r="K272" s="3">
        <f t="shared" si="14"/>
        <v>99.913043478260875</v>
      </c>
    </row>
    <row r="273" spans="1:11" x14ac:dyDescent="0.2">
      <c r="A273">
        <v>272</v>
      </c>
      <c r="B273" t="s">
        <v>459</v>
      </c>
      <c r="C273" s="1">
        <v>27</v>
      </c>
      <c r="D273" s="1" t="s">
        <v>118</v>
      </c>
      <c r="E273" s="1">
        <v>27</v>
      </c>
      <c r="F273" s="1">
        <v>100</v>
      </c>
      <c r="G273" s="1" t="s">
        <v>460</v>
      </c>
      <c r="H273" s="1">
        <v>19</v>
      </c>
      <c r="J273" s="1">
        <v>27</v>
      </c>
      <c r="K273" s="3">
        <f t="shared" si="14"/>
        <v>100</v>
      </c>
    </row>
    <row r="274" spans="1:11" x14ac:dyDescent="0.2">
      <c r="A274">
        <v>273</v>
      </c>
      <c r="B274" t="s">
        <v>461</v>
      </c>
      <c r="C274" s="1">
        <v>189</v>
      </c>
      <c r="D274" s="1" t="s">
        <v>118</v>
      </c>
      <c r="E274" s="1">
        <v>189</v>
      </c>
      <c r="F274" s="1">
        <v>100</v>
      </c>
      <c r="G274" s="1" t="s">
        <v>368</v>
      </c>
      <c r="H274" s="1">
        <v>60</v>
      </c>
      <c r="J274" s="1">
        <v>189</v>
      </c>
      <c r="K274" s="3">
        <f t="shared" si="14"/>
        <v>100</v>
      </c>
    </row>
    <row r="275" spans="1:11" x14ac:dyDescent="0.2">
      <c r="A275">
        <v>274</v>
      </c>
      <c r="B275" t="s">
        <v>462</v>
      </c>
      <c r="C275" s="1">
        <v>57</v>
      </c>
      <c r="D275" s="1" t="s">
        <v>118</v>
      </c>
      <c r="E275" s="1">
        <v>57</v>
      </c>
      <c r="F275" s="1">
        <v>100</v>
      </c>
      <c r="G275" s="1" t="s">
        <v>339</v>
      </c>
      <c r="H275" s="1">
        <v>50</v>
      </c>
      <c r="J275" s="1">
        <v>57</v>
      </c>
      <c r="K275" s="3">
        <f t="shared" si="14"/>
        <v>100</v>
      </c>
    </row>
    <row r="276" spans="1:11" x14ac:dyDescent="0.2">
      <c r="A276">
        <v>275</v>
      </c>
      <c r="B276" t="s">
        <v>463</v>
      </c>
      <c r="C276" s="1">
        <v>733</v>
      </c>
      <c r="D276" s="1" t="s">
        <v>100</v>
      </c>
      <c r="E276" s="1">
        <v>697</v>
      </c>
      <c r="F276" s="1">
        <v>95.1</v>
      </c>
      <c r="G276" s="1" t="s">
        <v>101</v>
      </c>
      <c r="H276" s="1">
        <v>485</v>
      </c>
      <c r="I276" s="1" t="s">
        <v>464</v>
      </c>
      <c r="J276" s="2">
        <v>733</v>
      </c>
      <c r="K276" s="3">
        <f t="shared" si="14"/>
        <v>100</v>
      </c>
    </row>
    <row r="277" spans="1:11" x14ac:dyDescent="0.2">
      <c r="A277">
        <v>276</v>
      </c>
      <c r="B277" t="s">
        <v>465</v>
      </c>
      <c r="C277" s="1">
        <v>83</v>
      </c>
      <c r="D277" s="1" t="s">
        <v>100</v>
      </c>
      <c r="E277" s="1">
        <v>75</v>
      </c>
      <c r="F277" s="1">
        <v>90.4</v>
      </c>
      <c r="G277" s="1" t="s">
        <v>466</v>
      </c>
      <c r="H277" s="1">
        <v>28</v>
      </c>
      <c r="I277" s="1" t="s">
        <v>343</v>
      </c>
      <c r="J277" s="2">
        <v>83</v>
      </c>
      <c r="K277" s="3">
        <f t="shared" si="14"/>
        <v>100</v>
      </c>
    </row>
    <row r="278" spans="1:11" x14ac:dyDescent="0.2">
      <c r="A278">
        <v>277</v>
      </c>
      <c r="B278" t="s">
        <v>467</v>
      </c>
      <c r="C278" s="1">
        <v>235</v>
      </c>
      <c r="D278" s="1" t="s">
        <v>118</v>
      </c>
      <c r="E278" s="1">
        <v>235</v>
      </c>
      <c r="F278" s="1">
        <v>100</v>
      </c>
      <c r="G278" s="1" t="s">
        <v>468</v>
      </c>
      <c r="H278" s="1">
        <v>80</v>
      </c>
      <c r="J278" s="1">
        <v>235</v>
      </c>
      <c r="K278" s="3">
        <f t="shared" si="14"/>
        <v>100</v>
      </c>
    </row>
    <row r="279" spans="1:11" x14ac:dyDescent="0.2">
      <c r="A279">
        <v>278</v>
      </c>
      <c r="B279" t="s">
        <v>469</v>
      </c>
      <c r="C279" s="1">
        <v>2</v>
      </c>
      <c r="D279" s="1" t="s">
        <v>118</v>
      </c>
      <c r="E279" s="1">
        <v>2</v>
      </c>
      <c r="F279" s="1">
        <v>100</v>
      </c>
      <c r="G279" s="1" t="s">
        <v>182</v>
      </c>
      <c r="H279" s="1">
        <v>1</v>
      </c>
      <c r="J279" s="1">
        <v>2</v>
      </c>
      <c r="K279" s="3">
        <f t="shared" si="14"/>
        <v>100</v>
      </c>
    </row>
    <row r="280" spans="1:11" x14ac:dyDescent="0.2">
      <c r="A280">
        <v>279</v>
      </c>
      <c r="B280" t="s">
        <v>470</v>
      </c>
      <c r="C280" s="1">
        <v>80</v>
      </c>
      <c r="D280" s="1" t="s">
        <v>100</v>
      </c>
      <c r="E280" s="1">
        <v>75</v>
      </c>
      <c r="F280" s="1">
        <v>93.8</v>
      </c>
      <c r="G280" s="1" t="s">
        <v>101</v>
      </c>
      <c r="H280" s="1">
        <v>59</v>
      </c>
      <c r="I280" s="1" t="s">
        <v>471</v>
      </c>
      <c r="J280" s="2">
        <v>80</v>
      </c>
      <c r="K280" s="3">
        <f t="shared" si="14"/>
        <v>100</v>
      </c>
    </row>
    <row r="281" spans="1:11" x14ac:dyDescent="0.2">
      <c r="A281">
        <v>280</v>
      </c>
      <c r="B281" t="s">
        <v>472</v>
      </c>
      <c r="C281" s="1">
        <v>808</v>
      </c>
      <c r="D281" s="1" t="s">
        <v>118</v>
      </c>
      <c r="E281" s="1">
        <v>808</v>
      </c>
      <c r="F281" s="1">
        <v>100</v>
      </c>
      <c r="G281" s="1" t="s">
        <v>365</v>
      </c>
      <c r="H281" s="1">
        <v>284</v>
      </c>
      <c r="J281" s="1">
        <v>808</v>
      </c>
      <c r="K281" s="3">
        <f t="shared" si="14"/>
        <v>100</v>
      </c>
    </row>
    <row r="282" spans="1:11" x14ac:dyDescent="0.2">
      <c r="A282">
        <v>281</v>
      </c>
      <c r="B282" t="s">
        <v>473</v>
      </c>
      <c r="C282" s="1">
        <v>136</v>
      </c>
      <c r="D282" s="1" t="s">
        <v>100</v>
      </c>
      <c r="E282" s="1">
        <v>125</v>
      </c>
      <c r="F282" s="1">
        <v>91.9</v>
      </c>
      <c r="G282" s="1" t="s">
        <v>474</v>
      </c>
      <c r="H282" s="1">
        <v>36</v>
      </c>
      <c r="I282" s="1" t="s">
        <v>475</v>
      </c>
      <c r="J282" s="1">
        <v>125</v>
      </c>
      <c r="K282" s="3">
        <f t="shared" si="14"/>
        <v>91.911764705882348</v>
      </c>
    </row>
    <row r="283" spans="1:11" x14ac:dyDescent="0.2">
      <c r="A283">
        <v>282</v>
      </c>
      <c r="B283" t="s">
        <v>476</v>
      </c>
      <c r="C283" s="1">
        <v>2182</v>
      </c>
      <c r="D283" s="1" t="s">
        <v>164</v>
      </c>
      <c r="E283" s="1">
        <v>2176</v>
      </c>
      <c r="F283" s="1">
        <v>99.7</v>
      </c>
      <c r="G283" s="1" t="s">
        <v>165</v>
      </c>
      <c r="H283" s="1">
        <v>1891</v>
      </c>
      <c r="I283" s="1" t="s">
        <v>477</v>
      </c>
      <c r="J283" s="2">
        <v>2182</v>
      </c>
      <c r="K283" s="3">
        <f t="shared" si="14"/>
        <v>100</v>
      </c>
    </row>
    <row r="284" spans="1:11" x14ac:dyDescent="0.2">
      <c r="A284">
        <v>283</v>
      </c>
      <c r="B284" t="s">
        <v>478</v>
      </c>
      <c r="C284" s="1">
        <v>687</v>
      </c>
      <c r="D284" s="1" t="s">
        <v>176</v>
      </c>
      <c r="E284" s="1">
        <v>687</v>
      </c>
      <c r="F284" s="1">
        <v>100</v>
      </c>
      <c r="G284" s="1" t="s">
        <v>179</v>
      </c>
      <c r="H284" s="1">
        <v>528</v>
      </c>
      <c r="J284" s="1">
        <v>687</v>
      </c>
      <c r="K284" s="3">
        <f t="shared" si="14"/>
        <v>100</v>
      </c>
    </row>
    <row r="285" spans="1:11" x14ac:dyDescent="0.2">
      <c r="A285">
        <v>284</v>
      </c>
      <c r="B285" t="s">
        <v>479</v>
      </c>
      <c r="C285" s="1">
        <v>0</v>
      </c>
      <c r="D285" s="1" t="s">
        <v>539</v>
      </c>
      <c r="E285" s="1" t="s">
        <v>539</v>
      </c>
      <c r="F285" s="1" t="s">
        <v>539</v>
      </c>
      <c r="G285" s="1" t="s">
        <v>539</v>
      </c>
      <c r="H285" s="1" t="s">
        <v>539</v>
      </c>
      <c r="I285" s="1" t="s">
        <v>539</v>
      </c>
      <c r="J285" s="1" t="s">
        <v>539</v>
      </c>
      <c r="K285" s="1" t="s">
        <v>539</v>
      </c>
    </row>
    <row r="286" spans="1:11" x14ac:dyDescent="0.2">
      <c r="A286">
        <v>285</v>
      </c>
      <c r="B286" t="s">
        <v>480</v>
      </c>
      <c r="C286" s="1">
        <v>415</v>
      </c>
      <c r="D286" s="1" t="s">
        <v>100</v>
      </c>
      <c r="E286" s="1">
        <v>392</v>
      </c>
      <c r="F286" s="1">
        <v>94.5</v>
      </c>
      <c r="G286" s="1" t="s">
        <v>389</v>
      </c>
      <c r="H286" s="1">
        <v>247</v>
      </c>
      <c r="I286" s="1" t="s">
        <v>481</v>
      </c>
      <c r="J286" s="2">
        <v>415</v>
      </c>
      <c r="K286" s="3">
        <f t="shared" ref="K286:K295" si="15">100*J286/C286</f>
        <v>100</v>
      </c>
    </row>
    <row r="287" spans="1:11" x14ac:dyDescent="0.2">
      <c r="A287">
        <v>286</v>
      </c>
      <c r="B287" t="s">
        <v>482</v>
      </c>
      <c r="C287" s="1">
        <v>100</v>
      </c>
      <c r="D287" s="1" t="s">
        <v>86</v>
      </c>
      <c r="E287" s="1">
        <v>100</v>
      </c>
      <c r="F287" s="1">
        <v>100</v>
      </c>
      <c r="G287" s="1" t="s">
        <v>483</v>
      </c>
      <c r="H287" s="1">
        <v>32</v>
      </c>
      <c r="J287" s="1">
        <v>100</v>
      </c>
      <c r="K287" s="3">
        <f t="shared" si="15"/>
        <v>100</v>
      </c>
    </row>
    <row r="288" spans="1:11" x14ac:dyDescent="0.2">
      <c r="A288">
        <v>287</v>
      </c>
      <c r="B288" t="s">
        <v>484</v>
      </c>
      <c r="C288" s="1">
        <v>183</v>
      </c>
      <c r="D288" s="1" t="s">
        <v>164</v>
      </c>
      <c r="E288" s="1">
        <v>182</v>
      </c>
      <c r="F288" s="1">
        <v>99.5</v>
      </c>
      <c r="G288" s="1" t="s">
        <v>165</v>
      </c>
      <c r="H288" s="1">
        <v>161</v>
      </c>
      <c r="I288" s="1" t="s">
        <v>485</v>
      </c>
      <c r="J288" s="2">
        <v>183</v>
      </c>
      <c r="K288" s="3">
        <f t="shared" si="15"/>
        <v>100</v>
      </c>
    </row>
    <row r="289" spans="1:11" x14ac:dyDescent="0.2">
      <c r="A289">
        <v>288</v>
      </c>
      <c r="B289" t="s">
        <v>486</v>
      </c>
      <c r="C289" s="1">
        <v>218</v>
      </c>
      <c r="D289" s="1" t="s">
        <v>100</v>
      </c>
      <c r="E289" s="1">
        <v>209</v>
      </c>
      <c r="F289" s="1">
        <v>95.9</v>
      </c>
      <c r="G289" s="1" t="s">
        <v>389</v>
      </c>
      <c r="H289" s="1">
        <v>120</v>
      </c>
      <c r="I289" s="1" t="s">
        <v>487</v>
      </c>
      <c r="J289" s="2">
        <v>218</v>
      </c>
      <c r="K289" s="3">
        <f t="shared" si="15"/>
        <v>100</v>
      </c>
    </row>
    <row r="290" spans="1:11" x14ac:dyDescent="0.2">
      <c r="A290">
        <v>289</v>
      </c>
      <c r="B290" t="s">
        <v>488</v>
      </c>
      <c r="C290" s="1">
        <v>380</v>
      </c>
      <c r="D290" s="1" t="s">
        <v>100</v>
      </c>
      <c r="E290" s="1">
        <v>354</v>
      </c>
      <c r="F290" s="1">
        <v>93.2</v>
      </c>
      <c r="G290" s="1" t="s">
        <v>101</v>
      </c>
      <c r="H290" s="1">
        <v>247</v>
      </c>
      <c r="I290" s="1" t="s">
        <v>489</v>
      </c>
      <c r="J290" s="2">
        <v>379</v>
      </c>
      <c r="K290" s="3">
        <f t="shared" si="15"/>
        <v>99.736842105263165</v>
      </c>
    </row>
    <row r="291" spans="1:11" x14ac:dyDescent="0.2">
      <c r="A291">
        <v>290</v>
      </c>
      <c r="B291" t="s">
        <v>490</v>
      </c>
      <c r="C291" s="1">
        <v>538</v>
      </c>
      <c r="D291" s="1" t="s">
        <v>118</v>
      </c>
      <c r="E291" s="1">
        <v>538</v>
      </c>
      <c r="F291" s="1">
        <v>100</v>
      </c>
      <c r="G291" s="1" t="s">
        <v>365</v>
      </c>
      <c r="H291" s="1">
        <v>160</v>
      </c>
      <c r="J291" s="1">
        <v>538</v>
      </c>
      <c r="K291" s="3">
        <f t="shared" si="15"/>
        <v>100</v>
      </c>
    </row>
    <row r="292" spans="1:11" x14ac:dyDescent="0.2">
      <c r="A292">
        <v>291</v>
      </c>
      <c r="B292" t="s">
        <v>491</v>
      </c>
      <c r="C292" s="1">
        <v>8</v>
      </c>
      <c r="D292" s="1" t="s">
        <v>100</v>
      </c>
      <c r="E292" s="1">
        <v>7</v>
      </c>
      <c r="F292" s="1">
        <v>87.5</v>
      </c>
      <c r="G292" s="1" t="s">
        <v>306</v>
      </c>
      <c r="H292" s="1">
        <v>3</v>
      </c>
      <c r="I292" s="1" t="s">
        <v>456</v>
      </c>
      <c r="J292" s="2">
        <v>8</v>
      </c>
      <c r="K292" s="3">
        <f t="shared" si="15"/>
        <v>100</v>
      </c>
    </row>
    <row r="293" spans="1:11" x14ac:dyDescent="0.2">
      <c r="A293">
        <v>292</v>
      </c>
      <c r="B293" t="s">
        <v>492</v>
      </c>
      <c r="C293" s="1">
        <v>1016</v>
      </c>
      <c r="D293" s="1" t="s">
        <v>100</v>
      </c>
      <c r="E293" s="1">
        <v>980</v>
      </c>
      <c r="F293" s="1">
        <v>96.5</v>
      </c>
      <c r="G293" s="1" t="s">
        <v>101</v>
      </c>
      <c r="H293" s="1">
        <v>695</v>
      </c>
      <c r="I293" s="1" t="s">
        <v>464</v>
      </c>
      <c r="J293" s="2">
        <v>1016</v>
      </c>
      <c r="K293" s="3">
        <f t="shared" si="15"/>
        <v>100</v>
      </c>
    </row>
    <row r="294" spans="1:11" x14ac:dyDescent="0.2">
      <c r="A294">
        <v>293</v>
      </c>
      <c r="B294" t="s">
        <v>493</v>
      </c>
      <c r="C294" s="1">
        <v>63</v>
      </c>
      <c r="D294" s="1" t="s">
        <v>379</v>
      </c>
      <c r="E294" s="1">
        <v>58</v>
      </c>
      <c r="F294" s="1">
        <v>92.1</v>
      </c>
      <c r="G294" s="1" t="s">
        <v>380</v>
      </c>
      <c r="H294" s="1">
        <v>55</v>
      </c>
      <c r="I294" s="1" t="s">
        <v>494</v>
      </c>
      <c r="J294" s="2">
        <v>63</v>
      </c>
      <c r="K294" s="3">
        <f t="shared" si="15"/>
        <v>100</v>
      </c>
    </row>
    <row r="295" spans="1:11" x14ac:dyDescent="0.2">
      <c r="A295">
        <v>294</v>
      </c>
      <c r="B295" t="s">
        <v>495</v>
      </c>
      <c r="C295" s="1">
        <v>240</v>
      </c>
      <c r="D295" s="1" t="s">
        <v>176</v>
      </c>
      <c r="E295" s="1">
        <v>240</v>
      </c>
      <c r="F295" s="1">
        <v>100</v>
      </c>
      <c r="G295" s="1" t="s">
        <v>179</v>
      </c>
      <c r="H295" s="1">
        <v>170</v>
      </c>
      <c r="J295" s="1">
        <v>240</v>
      </c>
      <c r="K295" s="3">
        <f t="shared" si="15"/>
        <v>100</v>
      </c>
    </row>
    <row r="296" spans="1:11" x14ac:dyDescent="0.2">
      <c r="A296">
        <v>295</v>
      </c>
      <c r="B296" t="s">
        <v>496</v>
      </c>
      <c r="C296" s="1">
        <v>0</v>
      </c>
      <c r="D296" s="1" t="s">
        <v>539</v>
      </c>
      <c r="E296" s="1" t="s">
        <v>539</v>
      </c>
      <c r="F296" s="1" t="s">
        <v>539</v>
      </c>
      <c r="G296" s="1" t="s">
        <v>539</v>
      </c>
      <c r="H296" s="1" t="s">
        <v>539</v>
      </c>
      <c r="I296" s="1" t="s">
        <v>539</v>
      </c>
      <c r="J296" s="1" t="s">
        <v>539</v>
      </c>
      <c r="K296" s="1" t="s">
        <v>539</v>
      </c>
    </row>
    <row r="297" spans="1:11" x14ac:dyDescent="0.2">
      <c r="A297">
        <v>296</v>
      </c>
      <c r="B297" t="s">
        <v>497</v>
      </c>
      <c r="C297" s="1">
        <v>9</v>
      </c>
      <c r="D297" s="1" t="s">
        <v>86</v>
      </c>
      <c r="E297" s="1">
        <v>9</v>
      </c>
      <c r="F297" s="1">
        <v>100</v>
      </c>
      <c r="G297" s="1" t="s">
        <v>97</v>
      </c>
      <c r="H297" s="1">
        <v>5</v>
      </c>
      <c r="J297" s="1">
        <v>9</v>
      </c>
      <c r="K297" s="3">
        <f>100*J297/C297</f>
        <v>100</v>
      </c>
    </row>
    <row r="298" spans="1:11" x14ac:dyDescent="0.2">
      <c r="A298">
        <v>297</v>
      </c>
      <c r="B298" t="s">
        <v>498</v>
      </c>
      <c r="C298" s="1">
        <v>11</v>
      </c>
      <c r="D298" s="1" t="s">
        <v>499</v>
      </c>
      <c r="E298" s="1">
        <v>11</v>
      </c>
      <c r="F298" s="1">
        <v>100</v>
      </c>
      <c r="G298" s="1" t="s">
        <v>500</v>
      </c>
      <c r="H298" s="1">
        <v>11</v>
      </c>
      <c r="J298" s="1">
        <v>11</v>
      </c>
      <c r="K298" s="3">
        <f>100*J298/C298</f>
        <v>100</v>
      </c>
    </row>
    <row r="299" spans="1:11" x14ac:dyDescent="0.2">
      <c r="A299">
        <v>298</v>
      </c>
      <c r="B299" t="s">
        <v>501</v>
      </c>
      <c r="C299" s="1">
        <v>73</v>
      </c>
      <c r="D299" s="1" t="s">
        <v>100</v>
      </c>
      <c r="E299" s="1">
        <v>69</v>
      </c>
      <c r="F299" s="1">
        <v>94.5</v>
      </c>
      <c r="G299" s="1" t="s">
        <v>306</v>
      </c>
      <c r="H299" s="1">
        <v>34</v>
      </c>
      <c r="I299" s="1" t="s">
        <v>409</v>
      </c>
      <c r="J299" s="2">
        <v>73</v>
      </c>
      <c r="K299" s="3">
        <f>100*J299/C299</f>
        <v>100</v>
      </c>
    </row>
    <row r="300" spans="1:11" x14ac:dyDescent="0.2">
      <c r="A300">
        <v>299</v>
      </c>
      <c r="B300" t="s">
        <v>502</v>
      </c>
      <c r="C300" s="1">
        <v>1662</v>
      </c>
      <c r="D300" s="1" t="s">
        <v>118</v>
      </c>
      <c r="E300" s="1">
        <v>1662</v>
      </c>
      <c r="F300" s="1">
        <v>100</v>
      </c>
      <c r="G300" s="1" t="s">
        <v>339</v>
      </c>
      <c r="H300" s="1">
        <v>1366</v>
      </c>
      <c r="J300" s="1">
        <v>1662</v>
      </c>
      <c r="K300" s="3">
        <f>100*J300/C300</f>
        <v>100</v>
      </c>
    </row>
    <row r="301" spans="1:11" x14ac:dyDescent="0.2">
      <c r="A301">
        <v>300</v>
      </c>
      <c r="B301" t="s">
        <v>503</v>
      </c>
      <c r="C301" s="1">
        <v>1082</v>
      </c>
      <c r="D301" s="1" t="s">
        <v>100</v>
      </c>
      <c r="E301" s="1">
        <v>1036</v>
      </c>
      <c r="F301" s="1">
        <v>95.7</v>
      </c>
      <c r="G301" s="1" t="s">
        <v>101</v>
      </c>
      <c r="H301" s="1">
        <v>700</v>
      </c>
      <c r="I301" s="1" t="s">
        <v>504</v>
      </c>
      <c r="J301" s="2">
        <v>1082</v>
      </c>
      <c r="K301" s="3">
        <f>100*J301/C301</f>
        <v>100</v>
      </c>
    </row>
    <row r="302" spans="1:11" x14ac:dyDescent="0.2">
      <c r="A302">
        <v>301</v>
      </c>
      <c r="B302" t="s">
        <v>505</v>
      </c>
      <c r="C302" s="1">
        <v>0</v>
      </c>
      <c r="D302" s="1" t="s">
        <v>539</v>
      </c>
      <c r="E302" s="1" t="s">
        <v>539</v>
      </c>
      <c r="F302" s="1" t="s">
        <v>539</v>
      </c>
      <c r="G302" s="1" t="s">
        <v>539</v>
      </c>
      <c r="H302" s="1" t="s">
        <v>539</v>
      </c>
      <c r="I302" s="1" t="s">
        <v>539</v>
      </c>
      <c r="J302" s="1" t="s">
        <v>539</v>
      </c>
      <c r="K302" s="1" t="s">
        <v>539</v>
      </c>
    </row>
    <row r="303" spans="1:11" x14ac:dyDescent="0.2">
      <c r="A303">
        <v>302</v>
      </c>
      <c r="B303" t="s">
        <v>506</v>
      </c>
      <c r="C303" s="1">
        <v>219</v>
      </c>
      <c r="D303" s="1" t="s">
        <v>118</v>
      </c>
      <c r="E303" s="1">
        <v>219</v>
      </c>
      <c r="F303" s="1">
        <v>100</v>
      </c>
      <c r="G303" s="1" t="s">
        <v>460</v>
      </c>
      <c r="H303" s="1">
        <v>140</v>
      </c>
      <c r="J303" s="1">
        <v>219</v>
      </c>
      <c r="K303" s="3">
        <f>100*J303/C303</f>
        <v>100</v>
      </c>
    </row>
    <row r="304" spans="1:11" x14ac:dyDescent="0.2">
      <c r="A304">
        <v>303</v>
      </c>
      <c r="B304" t="s">
        <v>507</v>
      </c>
      <c r="C304" s="1">
        <v>305</v>
      </c>
      <c r="D304" s="1" t="s">
        <v>100</v>
      </c>
      <c r="E304" s="1">
        <v>291</v>
      </c>
      <c r="F304" s="1">
        <v>95.4</v>
      </c>
      <c r="G304" s="1" t="s">
        <v>389</v>
      </c>
      <c r="H304" s="1">
        <v>182</v>
      </c>
      <c r="I304" s="1" t="s">
        <v>508</v>
      </c>
      <c r="J304" s="2">
        <v>305</v>
      </c>
      <c r="K304" s="3">
        <f>100*J304/C304</f>
        <v>100</v>
      </c>
    </row>
    <row r="305" spans="1:11" x14ac:dyDescent="0.2">
      <c r="A305">
        <v>304</v>
      </c>
      <c r="B305" t="s">
        <v>509</v>
      </c>
      <c r="C305" s="1">
        <v>0</v>
      </c>
      <c r="D305" s="1" t="s">
        <v>539</v>
      </c>
      <c r="E305" s="1" t="s">
        <v>539</v>
      </c>
      <c r="F305" s="1" t="s">
        <v>539</v>
      </c>
      <c r="G305" s="1" t="s">
        <v>539</v>
      </c>
      <c r="H305" s="1" t="s">
        <v>539</v>
      </c>
      <c r="I305" s="1" t="s">
        <v>539</v>
      </c>
      <c r="J305" s="1" t="s">
        <v>539</v>
      </c>
      <c r="K305" s="1" t="s">
        <v>539</v>
      </c>
    </row>
    <row r="306" spans="1:11" x14ac:dyDescent="0.2">
      <c r="A306">
        <v>305</v>
      </c>
      <c r="B306" t="s">
        <v>510</v>
      </c>
      <c r="C306" s="1">
        <v>177</v>
      </c>
      <c r="D306" s="1" t="s">
        <v>118</v>
      </c>
      <c r="E306" s="1">
        <v>177</v>
      </c>
      <c r="F306" s="1">
        <v>100</v>
      </c>
      <c r="G306" s="1" t="s">
        <v>202</v>
      </c>
      <c r="H306" s="1">
        <v>44</v>
      </c>
      <c r="J306" s="1">
        <v>177</v>
      </c>
      <c r="K306" s="3">
        <f t="shared" ref="K306:K311" si="16">100*J306/C306</f>
        <v>100</v>
      </c>
    </row>
    <row r="307" spans="1:11" x14ac:dyDescent="0.2">
      <c r="A307">
        <v>306</v>
      </c>
      <c r="B307" t="s">
        <v>511</v>
      </c>
      <c r="C307" s="1">
        <v>1400</v>
      </c>
      <c r="D307" s="1" t="s">
        <v>100</v>
      </c>
      <c r="E307" s="1">
        <v>1339</v>
      </c>
      <c r="F307" s="1">
        <v>95.6</v>
      </c>
      <c r="G307" s="1" t="s">
        <v>101</v>
      </c>
      <c r="H307" s="1">
        <v>933</v>
      </c>
      <c r="I307" s="1" t="s">
        <v>512</v>
      </c>
      <c r="J307" s="2">
        <v>1400</v>
      </c>
      <c r="K307" s="3">
        <f t="shared" si="16"/>
        <v>100</v>
      </c>
    </row>
    <row r="308" spans="1:11" x14ac:dyDescent="0.2">
      <c r="A308">
        <v>307</v>
      </c>
      <c r="B308" t="s">
        <v>513</v>
      </c>
      <c r="C308" s="1">
        <v>302</v>
      </c>
      <c r="D308" s="1" t="s">
        <v>100</v>
      </c>
      <c r="E308" s="1">
        <v>291</v>
      </c>
      <c r="F308" s="1">
        <v>96.4</v>
      </c>
      <c r="G308" s="1" t="s">
        <v>101</v>
      </c>
      <c r="H308" s="1">
        <v>205</v>
      </c>
      <c r="I308" s="1" t="s">
        <v>514</v>
      </c>
      <c r="J308" s="2">
        <v>301</v>
      </c>
      <c r="K308" s="3">
        <f t="shared" si="16"/>
        <v>99.668874172185426</v>
      </c>
    </row>
    <row r="309" spans="1:11" x14ac:dyDescent="0.2">
      <c r="A309">
        <v>308</v>
      </c>
      <c r="B309" t="s">
        <v>515</v>
      </c>
      <c r="C309" s="1">
        <v>70</v>
      </c>
      <c r="D309" s="1" t="s">
        <v>118</v>
      </c>
      <c r="E309" s="1">
        <v>70</v>
      </c>
      <c r="F309" s="1">
        <v>100</v>
      </c>
      <c r="G309" s="1" t="s">
        <v>516</v>
      </c>
      <c r="H309" s="1">
        <v>44</v>
      </c>
      <c r="J309" s="1">
        <v>70</v>
      </c>
      <c r="K309" s="3">
        <f t="shared" si="16"/>
        <v>100</v>
      </c>
    </row>
    <row r="310" spans="1:11" x14ac:dyDescent="0.2">
      <c r="A310">
        <v>309</v>
      </c>
      <c r="B310" t="s">
        <v>517</v>
      </c>
      <c r="C310" s="1">
        <v>111</v>
      </c>
      <c r="D310" s="1" t="s">
        <v>86</v>
      </c>
      <c r="E310" s="1">
        <v>111</v>
      </c>
      <c r="F310" s="1">
        <v>100</v>
      </c>
      <c r="G310" s="1" t="s">
        <v>97</v>
      </c>
      <c r="H310" s="1">
        <v>41</v>
      </c>
      <c r="J310" s="1">
        <v>111</v>
      </c>
      <c r="K310" s="3">
        <f t="shared" si="16"/>
        <v>100</v>
      </c>
    </row>
    <row r="311" spans="1:11" x14ac:dyDescent="0.2">
      <c r="A311">
        <v>310</v>
      </c>
      <c r="B311" t="s">
        <v>518</v>
      </c>
      <c r="C311" s="1">
        <v>11</v>
      </c>
      <c r="D311" s="1" t="s">
        <v>100</v>
      </c>
      <c r="E311" s="1">
        <v>9</v>
      </c>
      <c r="F311" s="1">
        <v>81.8</v>
      </c>
      <c r="G311" s="1" t="s">
        <v>101</v>
      </c>
      <c r="H311" s="1">
        <v>7</v>
      </c>
      <c r="I311" s="1" t="s">
        <v>276</v>
      </c>
      <c r="J311" s="2">
        <v>11</v>
      </c>
      <c r="K311" s="3">
        <f t="shared" si="16"/>
        <v>100</v>
      </c>
    </row>
    <row r="312" spans="1:11" x14ac:dyDescent="0.2">
      <c r="A312">
        <v>311</v>
      </c>
      <c r="B312" t="s">
        <v>519</v>
      </c>
      <c r="C312" s="1">
        <v>0</v>
      </c>
      <c r="D312" s="1" t="s">
        <v>539</v>
      </c>
      <c r="E312" s="1" t="s">
        <v>539</v>
      </c>
      <c r="F312" s="1" t="s">
        <v>539</v>
      </c>
      <c r="G312" s="1" t="s">
        <v>539</v>
      </c>
      <c r="H312" s="1" t="s">
        <v>539</v>
      </c>
      <c r="I312" s="1" t="s">
        <v>539</v>
      </c>
      <c r="J312" s="1" t="s">
        <v>539</v>
      </c>
      <c r="K312" s="1" t="s">
        <v>539</v>
      </c>
    </row>
    <row r="313" spans="1:11" x14ac:dyDescent="0.2">
      <c r="A313">
        <v>312</v>
      </c>
      <c r="B313" t="s">
        <v>520</v>
      </c>
      <c r="C313" s="1">
        <v>7</v>
      </c>
      <c r="D313" s="1" t="s">
        <v>118</v>
      </c>
      <c r="E313" s="1">
        <v>7</v>
      </c>
      <c r="F313" s="1">
        <v>100</v>
      </c>
      <c r="G313" s="1" t="s">
        <v>365</v>
      </c>
      <c r="H313" s="1">
        <v>2</v>
      </c>
      <c r="J313" s="1">
        <v>7</v>
      </c>
      <c r="K313" s="3">
        <f>100*J313/C313</f>
        <v>100</v>
      </c>
    </row>
    <row r="314" spans="1:11" x14ac:dyDescent="0.2">
      <c r="A314">
        <v>313</v>
      </c>
      <c r="B314" t="s">
        <v>521</v>
      </c>
      <c r="C314" s="1">
        <v>430</v>
      </c>
      <c r="D314" s="1" t="s">
        <v>499</v>
      </c>
      <c r="E314" s="1">
        <v>430</v>
      </c>
      <c r="F314" s="1">
        <v>100</v>
      </c>
      <c r="G314" s="1" t="s">
        <v>500</v>
      </c>
      <c r="H314" s="1">
        <v>201</v>
      </c>
      <c r="J314" s="1">
        <v>430</v>
      </c>
      <c r="K314" s="3">
        <f>100*J314/C314</f>
        <v>100</v>
      </c>
    </row>
    <row r="315" spans="1:11" x14ac:dyDescent="0.2">
      <c r="A315">
        <v>314</v>
      </c>
      <c r="B315" t="s">
        <v>522</v>
      </c>
      <c r="C315" s="1">
        <v>0</v>
      </c>
      <c r="D315" s="1" t="s">
        <v>539</v>
      </c>
      <c r="E315" s="1" t="s">
        <v>539</v>
      </c>
      <c r="F315" s="1" t="s">
        <v>539</v>
      </c>
      <c r="G315" s="1" t="s">
        <v>539</v>
      </c>
      <c r="H315" s="1" t="s">
        <v>539</v>
      </c>
      <c r="I315" s="1" t="s">
        <v>539</v>
      </c>
      <c r="J315" s="1" t="s">
        <v>539</v>
      </c>
      <c r="K315" s="1" t="s">
        <v>539</v>
      </c>
    </row>
    <row r="316" spans="1:11" x14ac:dyDescent="0.2">
      <c r="A316">
        <v>315</v>
      </c>
      <c r="B316" t="s">
        <v>523</v>
      </c>
      <c r="C316" s="1">
        <v>0</v>
      </c>
      <c r="D316" s="1" t="s">
        <v>539</v>
      </c>
      <c r="E316" s="1" t="s">
        <v>539</v>
      </c>
      <c r="F316" s="1" t="s">
        <v>539</v>
      </c>
      <c r="G316" s="1" t="s">
        <v>539</v>
      </c>
      <c r="H316" s="1" t="s">
        <v>539</v>
      </c>
      <c r="I316" s="1" t="s">
        <v>539</v>
      </c>
      <c r="J316" s="1" t="s">
        <v>539</v>
      </c>
      <c r="K316" s="1" t="s">
        <v>539</v>
      </c>
    </row>
    <row r="317" spans="1:11" x14ac:dyDescent="0.2">
      <c r="A317">
        <v>316</v>
      </c>
      <c r="B317" t="s">
        <v>524</v>
      </c>
      <c r="C317" s="1">
        <v>4</v>
      </c>
      <c r="D317" s="1" t="s">
        <v>100</v>
      </c>
      <c r="E317" s="1">
        <v>4</v>
      </c>
      <c r="F317" s="1">
        <v>100</v>
      </c>
      <c r="G317" s="1" t="s">
        <v>525</v>
      </c>
      <c r="H317" s="1">
        <v>3</v>
      </c>
      <c r="J317" s="1">
        <v>4</v>
      </c>
      <c r="K317" s="3">
        <f>100*J317/C317</f>
        <v>100</v>
      </c>
    </row>
    <row r="318" spans="1:11" x14ac:dyDescent="0.2">
      <c r="A318">
        <v>317</v>
      </c>
      <c r="B318" t="s">
        <v>526</v>
      </c>
      <c r="C318" s="1">
        <v>674</v>
      </c>
      <c r="D318" s="1" t="s">
        <v>176</v>
      </c>
      <c r="E318" s="1">
        <v>674</v>
      </c>
      <c r="F318" s="1">
        <v>100</v>
      </c>
      <c r="G318" s="1" t="s">
        <v>527</v>
      </c>
      <c r="H318" s="1">
        <v>368</v>
      </c>
      <c r="J318" s="1">
        <v>674</v>
      </c>
      <c r="K318" s="3">
        <f>100*J318/C318</f>
        <v>100</v>
      </c>
    </row>
    <row r="319" spans="1:11" x14ac:dyDescent="0.2">
      <c r="A319">
        <v>318</v>
      </c>
      <c r="B319" t="s">
        <v>528</v>
      </c>
      <c r="C319" s="1">
        <v>25</v>
      </c>
      <c r="D319" s="1" t="s">
        <v>86</v>
      </c>
      <c r="E319" s="1">
        <v>25</v>
      </c>
      <c r="F319" s="1">
        <v>100</v>
      </c>
      <c r="G319" s="1" t="s">
        <v>122</v>
      </c>
      <c r="H319" s="1">
        <v>25</v>
      </c>
      <c r="J319" s="1">
        <v>25</v>
      </c>
      <c r="K319" s="3">
        <f>100*J319/C319</f>
        <v>100</v>
      </c>
    </row>
    <row r="320" spans="1:11" x14ac:dyDescent="0.2">
      <c r="A320">
        <v>319</v>
      </c>
      <c r="B320" t="s">
        <v>529</v>
      </c>
      <c r="C320" s="1">
        <v>77</v>
      </c>
      <c r="D320" s="1" t="s">
        <v>86</v>
      </c>
      <c r="E320" s="1">
        <v>77</v>
      </c>
      <c r="F320" s="1">
        <v>100</v>
      </c>
      <c r="G320" s="1" t="s">
        <v>530</v>
      </c>
      <c r="H320" s="1">
        <v>43</v>
      </c>
      <c r="J320" s="1">
        <v>77</v>
      </c>
      <c r="K320" s="3">
        <f>100*J320/C320</f>
        <v>100</v>
      </c>
    </row>
    <row r="321" spans="1:11" x14ac:dyDescent="0.2">
      <c r="A321">
        <v>320</v>
      </c>
      <c r="B321" t="s">
        <v>531</v>
      </c>
      <c r="C321" s="1">
        <v>547</v>
      </c>
      <c r="D321" s="1" t="s">
        <v>379</v>
      </c>
      <c r="E321" s="1">
        <v>514</v>
      </c>
      <c r="F321" s="1">
        <v>94</v>
      </c>
      <c r="G321" s="1" t="s">
        <v>380</v>
      </c>
      <c r="H321" s="1">
        <v>489</v>
      </c>
      <c r="I321" s="1" t="s">
        <v>532</v>
      </c>
      <c r="J321" s="2">
        <v>547</v>
      </c>
      <c r="K321" s="3">
        <f>100*J321/C321</f>
        <v>100</v>
      </c>
    </row>
    <row r="322" spans="1:11" x14ac:dyDescent="0.2">
      <c r="A322">
        <v>321</v>
      </c>
      <c r="B322" t="s">
        <v>533</v>
      </c>
      <c r="C322" s="1">
        <v>0</v>
      </c>
      <c r="D322" s="1" t="s">
        <v>539</v>
      </c>
      <c r="E322" s="1" t="s">
        <v>539</v>
      </c>
      <c r="F322" s="1" t="s">
        <v>539</v>
      </c>
      <c r="G322" s="1" t="s">
        <v>539</v>
      </c>
      <c r="H322" s="1" t="s">
        <v>539</v>
      </c>
      <c r="I322" s="1" t="s">
        <v>539</v>
      </c>
      <c r="J322" s="1" t="s">
        <v>539</v>
      </c>
      <c r="K322" s="1" t="s">
        <v>539</v>
      </c>
    </row>
    <row r="323" spans="1:11" x14ac:dyDescent="0.2">
      <c r="A323">
        <v>322</v>
      </c>
      <c r="B323" t="s">
        <v>534</v>
      </c>
      <c r="C323" s="1">
        <v>34</v>
      </c>
      <c r="D323" s="1" t="s">
        <v>100</v>
      </c>
      <c r="E323" s="1">
        <v>33</v>
      </c>
      <c r="F323" s="1">
        <v>97.1</v>
      </c>
      <c r="G323" s="1" t="s">
        <v>389</v>
      </c>
      <c r="H323" s="1">
        <v>17</v>
      </c>
      <c r="I323" s="1" t="s">
        <v>456</v>
      </c>
      <c r="J323" s="2">
        <v>34</v>
      </c>
      <c r="K323" s="3">
        <f>100*J323/C323</f>
        <v>100</v>
      </c>
    </row>
    <row r="324" spans="1:11" x14ac:dyDescent="0.2">
      <c r="A324">
        <v>323</v>
      </c>
      <c r="B324" t="s">
        <v>535</v>
      </c>
      <c r="C324" s="1">
        <v>1075</v>
      </c>
      <c r="D324" s="1" t="s">
        <v>118</v>
      </c>
      <c r="E324" s="1">
        <v>1075</v>
      </c>
      <c r="F324" s="1">
        <v>100</v>
      </c>
      <c r="G324" s="1" t="s">
        <v>368</v>
      </c>
      <c r="H324" s="1">
        <v>343</v>
      </c>
      <c r="J324" s="1">
        <v>1075</v>
      </c>
      <c r="K324" s="3">
        <f>100*J324/C324</f>
        <v>100</v>
      </c>
    </row>
    <row r="325" spans="1:11" x14ac:dyDescent="0.2">
      <c r="A325">
        <v>324</v>
      </c>
      <c r="B325" t="s">
        <v>536</v>
      </c>
      <c r="C325" s="1">
        <v>399</v>
      </c>
      <c r="D325" s="1" t="s">
        <v>499</v>
      </c>
      <c r="E325" s="1">
        <v>399</v>
      </c>
      <c r="F325" s="1">
        <v>100</v>
      </c>
      <c r="G325" s="1" t="s">
        <v>537</v>
      </c>
      <c r="H325" s="1">
        <v>291</v>
      </c>
      <c r="J325" s="1">
        <v>399</v>
      </c>
      <c r="K325" s="3">
        <f>100*J325/C325</f>
        <v>100</v>
      </c>
    </row>
    <row r="326" spans="1:11" x14ac:dyDescent="0.2">
      <c r="A326">
        <v>325</v>
      </c>
      <c r="B326" t="s">
        <v>538</v>
      </c>
      <c r="C326" s="1">
        <v>0</v>
      </c>
      <c r="D326" s="1" t="s">
        <v>539</v>
      </c>
      <c r="E326" s="1" t="s">
        <v>539</v>
      </c>
      <c r="F326" s="1" t="s">
        <v>539</v>
      </c>
      <c r="G326" s="1" t="s">
        <v>539</v>
      </c>
      <c r="H326" s="1" t="s">
        <v>539</v>
      </c>
      <c r="I326" s="1" t="s">
        <v>539</v>
      </c>
      <c r="J326" s="1" t="s">
        <v>539</v>
      </c>
      <c r="K326" s="1" t="s">
        <v>539</v>
      </c>
    </row>
  </sheetData>
  <sortState xmlns:xlrd2="http://schemas.microsoft.com/office/spreadsheetml/2017/richdata2" ref="A2:K326">
    <sortCondition ref="A2:A3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sept26_mtags_otu_table_table_cl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Massana</dc:creator>
  <cp:lastModifiedBy>Ramon Massana</cp:lastModifiedBy>
  <dcterms:created xsi:type="dcterms:W3CDTF">2026-09-04T07:57:42Z</dcterms:created>
  <dcterms:modified xsi:type="dcterms:W3CDTF">2026-09-07T08:38:01Z</dcterms:modified>
</cp:coreProperties>
</file>