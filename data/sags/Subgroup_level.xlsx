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onM/Desktop/ARTICLE.SAG-collection-David/12-Darrers serrells/"/>
    </mc:Choice>
  </mc:AlternateContent>
  <xr:revisionPtr revIDLastSave="0" documentId="13_ncr:1_{A63AEC1B-4961-224B-908B-3FF1A2CA2AD1}" xr6:coauthVersionLast="47" xr6:coauthVersionMax="47" xr10:uidLastSave="{00000000-0000-0000-0000-000000000000}"/>
  <bookViews>
    <workbookView xWindow="0" yWindow="760" windowWidth="33600" windowHeight="21000" xr2:uid="{6E75B2AF-FEED-EF46-B452-605831BFC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O26" i="1"/>
  <c r="O25" i="1"/>
  <c r="O9" i="1"/>
  <c r="O17" i="1"/>
  <c r="O14" i="1"/>
  <c r="O22" i="1"/>
  <c r="O4" i="1"/>
  <c r="O13" i="1"/>
  <c r="O12" i="1"/>
  <c r="O6" i="1"/>
  <c r="O24" i="1"/>
  <c r="O20" i="1"/>
  <c r="O21" i="1"/>
  <c r="O2" i="1"/>
  <c r="O5" i="1"/>
  <c r="O23" i="1"/>
  <c r="O11" i="1"/>
  <c r="O8" i="1"/>
  <c r="O7" i="1"/>
  <c r="O15" i="1"/>
  <c r="O16" i="1"/>
  <c r="O3" i="1"/>
  <c r="O18" i="1"/>
  <c r="O19" i="1"/>
  <c r="O10" i="1"/>
  <c r="N26" i="1" l="1"/>
  <c r="N25" i="1"/>
  <c r="N9" i="1"/>
  <c r="N17" i="1"/>
  <c r="N14" i="1"/>
  <c r="N22" i="1"/>
  <c r="N4" i="1"/>
  <c r="N13" i="1"/>
  <c r="N12" i="1"/>
  <c r="N6" i="1"/>
  <c r="N24" i="1"/>
  <c r="N20" i="1"/>
  <c r="N21" i="1"/>
  <c r="N2" i="1"/>
  <c r="N5" i="1"/>
  <c r="N23" i="1"/>
  <c r="N11" i="1"/>
  <c r="N8" i="1"/>
  <c r="N7" i="1"/>
  <c r="N15" i="1"/>
  <c r="N16" i="1"/>
  <c r="N3" i="1"/>
  <c r="N18" i="1"/>
  <c r="N19" i="1"/>
  <c r="N10" i="1"/>
</calcChain>
</file>

<file path=xl/sharedStrings.xml><?xml version="1.0" encoding="utf-8"?>
<sst xmlns="http://schemas.openxmlformats.org/spreadsheetml/2006/main" count="1207" uniqueCount="412">
  <si>
    <t>Final_Name</t>
  </si>
  <si>
    <t>Sort</t>
  </si>
  <si>
    <t>All</t>
  </si>
  <si>
    <t>Assembled</t>
  </si>
  <si>
    <t>Species</t>
  </si>
  <si>
    <t>Subgroup</t>
  </si>
  <si>
    <t>Group</t>
  </si>
  <si>
    <t>ICM0003_COSAG.1_Prymnesiophyceae</t>
  </si>
  <si>
    <t>pico-PP</t>
  </si>
  <si>
    <t>Prymnesium parvum_95.6</t>
  </si>
  <si>
    <t>-</t>
  </si>
  <si>
    <t>Prymnesiophyceae</t>
  </si>
  <si>
    <t>ICM0005_SAG.1_MALV-I</t>
  </si>
  <si>
    <t>pico-HP</t>
  </si>
  <si>
    <t>MALV-I sp3</t>
  </si>
  <si>
    <t>MALV-I</t>
  </si>
  <si>
    <t>ICM0009_SAG.1_Labyrinthulomycetes</t>
  </si>
  <si>
    <t>Thraustochytrium multirudimentale_92.2</t>
  </si>
  <si>
    <t>Labyrinthulomycetes</t>
  </si>
  <si>
    <t>ICM0012_SAG.1_MALV-I</t>
  </si>
  <si>
    <t>MALV-I sp4</t>
  </si>
  <si>
    <t>ICM0018_SAG.1_MALV-I</t>
  </si>
  <si>
    <t>MALV-I sp1</t>
  </si>
  <si>
    <t>ICM0020_SAG.1_MALV-II</t>
  </si>
  <si>
    <t>MALV-II sp1</t>
  </si>
  <si>
    <t>MALV-II</t>
  </si>
  <si>
    <t>ICM0021_SAG.1_MALV-I</t>
  </si>
  <si>
    <t>MALV-I sp2</t>
  </si>
  <si>
    <t>ICM0022_SAG.1_MALV-II</t>
  </si>
  <si>
    <t>MALV-II sp3</t>
  </si>
  <si>
    <t>ICM0032_SAG.1_MALV-II</t>
  </si>
  <si>
    <t>MALV-II sp2</t>
  </si>
  <si>
    <t>ICM0033_SAG.1_MALV-II</t>
  </si>
  <si>
    <t>MALV-II sp4</t>
  </si>
  <si>
    <t>ICM0034_SAG.1_MALV-II</t>
  </si>
  <si>
    <t>nano-HP</t>
  </si>
  <si>
    <t>MALV-II sp5</t>
  </si>
  <si>
    <t>ICM0035_SAG.1_MAST-2</t>
  </si>
  <si>
    <t>MAST-2 sp8</t>
  </si>
  <si>
    <t>MAST-2</t>
  </si>
  <si>
    <t>ICM0044_SAG.1_Labyrinthulomycetes</t>
  </si>
  <si>
    <t>Labyrinthuloides haliotidis_89.0</t>
  </si>
  <si>
    <t>ICM0046_SAG.1_MAST-3</t>
  </si>
  <si>
    <t>MAST-3 sp1</t>
  </si>
  <si>
    <t>MAST-3</t>
  </si>
  <si>
    <t>ICM0047_SAG.1_Endomyxa</t>
  </si>
  <si>
    <t>Endomyxa sp1</t>
  </si>
  <si>
    <t>Endomyxa</t>
  </si>
  <si>
    <t>ICM0054_COSAG.1_Labyrinthulomycetes</t>
  </si>
  <si>
    <t>Thraustochytrium gaertnerium_78.8</t>
  </si>
  <si>
    <t>ICM0057_COSAG.1_Unknown</t>
  </si>
  <si>
    <t>Unknown sp1</t>
  </si>
  <si>
    <t>Unknown</t>
  </si>
  <si>
    <t>ICM0058_SAG.1_Cercozoa</t>
  </si>
  <si>
    <t>Cryothecomonas longipes_93.5</t>
  </si>
  <si>
    <t>Cercozoa</t>
  </si>
  <si>
    <t>ICM0075_COSAG.1_MOCH-2</t>
  </si>
  <si>
    <t>PP</t>
  </si>
  <si>
    <t>MOCH-2 sp1</t>
  </si>
  <si>
    <t>MOCH-2</t>
  </si>
  <si>
    <t>ICM0078_COSAG.1_Prymnesiophyceae</t>
  </si>
  <si>
    <t>Haptolina fragaria_96.0</t>
  </si>
  <si>
    <t>ICM0084_SAG.1_Prymnesiophyceae</t>
  </si>
  <si>
    <t>Haptolina fragaria_95.5</t>
  </si>
  <si>
    <t>ICM0088_SAG.1_Mamiellophyceae</t>
  </si>
  <si>
    <t>Dolichomastix tenuilepis_97.1</t>
  </si>
  <si>
    <t>Mamiellophyceae</t>
  </si>
  <si>
    <t>ICM0090_SAG.1_Mamiellophyceae</t>
  </si>
  <si>
    <t>Crustomastix stigmatica_97.0</t>
  </si>
  <si>
    <t>ICM0093_SAG.1_Chlorophyta</t>
  </si>
  <si>
    <t>Chlorophyta sp1</t>
  </si>
  <si>
    <t>Chlorophyta</t>
  </si>
  <si>
    <t>ICM0094_SAG.1_Centroplasthelida</t>
  </si>
  <si>
    <t>Chlamydaster sterni_95.4</t>
  </si>
  <si>
    <t>Centroplasthelida</t>
  </si>
  <si>
    <t>ICM0119_SAG.1_Dinoflagellata</t>
  </si>
  <si>
    <t>Prorocentrum bidens_94.9</t>
  </si>
  <si>
    <t>Dinoflagellata</t>
  </si>
  <si>
    <t>ICM0133_SAG.1_Kinetoplastea</t>
  </si>
  <si>
    <t>Neobodo sp. HFCC731_94.6</t>
  </si>
  <si>
    <t>Kinetoplastea</t>
  </si>
  <si>
    <t>ICM0056_SAG.1_Choanoflagellata</t>
  </si>
  <si>
    <t>Savillea micropora_94.7</t>
  </si>
  <si>
    <t>Acanthoecida</t>
  </si>
  <si>
    <t>Choanoflagellata</t>
  </si>
  <si>
    <t>ICM0143_SAG.1_Choanoflagellata</t>
  </si>
  <si>
    <t>Didymoeca costata _96.1</t>
  </si>
  <si>
    <t>ICM0145_SAG.1_Choanoflagellata</t>
  </si>
  <si>
    <t>Acanthoeca spectabilis_96.0</t>
  </si>
  <si>
    <t>ICM0011_COSAG.1_Chlorarachnea</t>
  </si>
  <si>
    <t>Cryothecomonas longipes_87.1</t>
  </si>
  <si>
    <t>Basal Chlorarachnea</t>
  </si>
  <si>
    <t>Chlorarachnea</t>
  </si>
  <si>
    <t>ICM0041_COSAG.1_Chlorarachnea</t>
  </si>
  <si>
    <t>Minorisa minuta_99.9</t>
  </si>
  <si>
    <t>ICM0030_SAG.1_Mamiellophyceae</t>
  </si>
  <si>
    <t>Bathycoccus prasinos</t>
  </si>
  <si>
    <r>
      <rPr>
        <i/>
        <sz val="11"/>
        <color theme="1"/>
        <rFont val="Calibri"/>
        <family val="2"/>
        <scheme val="minor"/>
      </rPr>
      <t>Bathycoccus</t>
    </r>
    <r>
      <rPr>
        <sz val="11"/>
        <color theme="1"/>
        <rFont val="Calibri"/>
        <family val="2"/>
        <scheme val="minor"/>
      </rPr>
      <t xml:space="preserve"> sp.</t>
    </r>
  </si>
  <si>
    <t>ICM0096_SAG.1_Mamiellophyceae</t>
  </si>
  <si>
    <t>Bathycoccus prasinos_sp2</t>
  </si>
  <si>
    <t>ICM0087_SAG.1_Diatomea</t>
  </si>
  <si>
    <t>Chaetoceros tenuissimus</t>
  </si>
  <si>
    <r>
      <rPr>
        <i/>
        <sz val="11"/>
        <color theme="1"/>
        <rFont val="Calibri"/>
        <family val="2"/>
        <scheme val="minor"/>
      </rPr>
      <t>Chaetoceros</t>
    </r>
    <r>
      <rPr>
        <sz val="11"/>
        <color theme="1"/>
        <rFont val="Calibri"/>
        <family val="2"/>
        <scheme val="minor"/>
      </rPr>
      <t xml:space="preserve"> sp.</t>
    </r>
  </si>
  <si>
    <t>Diatomea</t>
  </si>
  <si>
    <t>ICM0097_SAG.1_Diatomea</t>
  </si>
  <si>
    <t>Chaetoceros muellerii _99.2</t>
  </si>
  <si>
    <t>ICM0139_SAG.1_Chlorarachnea</t>
  </si>
  <si>
    <t>Chlorarachnion reptans_99.2</t>
  </si>
  <si>
    <r>
      <rPr>
        <i/>
        <sz val="11"/>
        <color theme="1"/>
        <rFont val="Calibri"/>
        <family val="2"/>
        <scheme val="minor"/>
      </rPr>
      <t>Chlorarachnion</t>
    </r>
    <r>
      <rPr>
        <sz val="11"/>
        <color theme="1"/>
        <rFont val="Calibri"/>
        <family val="2"/>
        <scheme val="minor"/>
      </rPr>
      <t xml:space="preserve"> sp.</t>
    </r>
  </si>
  <si>
    <t>ICM0071_SAG.1_Prymnesiophyceae</t>
  </si>
  <si>
    <t>Chrysochromulina scutellum_98.2</t>
  </si>
  <si>
    <r>
      <rPr>
        <i/>
        <sz val="11"/>
        <color theme="1"/>
        <rFont val="Calibri"/>
        <family val="2"/>
        <scheme val="minor"/>
      </rPr>
      <t>Chrysochromulina</t>
    </r>
    <r>
      <rPr>
        <sz val="11"/>
        <color theme="1"/>
        <rFont val="Calibri"/>
        <family val="2"/>
        <scheme val="minor"/>
      </rPr>
      <t xml:space="preserve"> sp.</t>
    </r>
  </si>
  <si>
    <t>ICM0072_SAG.1_Prymnesiophyceae</t>
  </si>
  <si>
    <t>Chrysochromulina simplex_94.8</t>
  </si>
  <si>
    <t>ICM0082_COSAG.1_Prymnesiophyceae</t>
  </si>
  <si>
    <t>PP(67%)</t>
  </si>
  <si>
    <t>Chrysochromulina andersonii _97.4</t>
  </si>
  <si>
    <t>ICM0089_SAG.1_Prymnesiophyceae</t>
  </si>
  <si>
    <t>Chrysochromulina leadbeateri_98.6</t>
  </si>
  <si>
    <t>ICM0099_SAG.1_Prymnesiophyceae</t>
  </si>
  <si>
    <t>Chrysochromulina acantha_97.2</t>
  </si>
  <si>
    <t>ICM0100_SAG.1_Prymnesiophyceae</t>
  </si>
  <si>
    <t>Chrysochromulina scutellum_98.5</t>
  </si>
  <si>
    <t>ICM0101_COSAG.1_Prymnesiophyceae</t>
  </si>
  <si>
    <t>Chrysochromulina simplex_98.2</t>
  </si>
  <si>
    <t>ICM0102_SAG.1_Prymnesiophyceae</t>
  </si>
  <si>
    <t>Chrysochromulina acantha_98.2</t>
  </si>
  <si>
    <t>ICM0103_SAG.1_Prymnesiophyceae</t>
  </si>
  <si>
    <t>Chrysochromulina_sp1</t>
  </si>
  <si>
    <t>ICM0105_SAG.1_Prymnesiophyceae</t>
  </si>
  <si>
    <t>Chrysochromulina_sp2</t>
  </si>
  <si>
    <t>ICM0106_COSAG.1_Prymnesiophyceae</t>
  </si>
  <si>
    <t>Chrysochromulina simplex_99.4a</t>
  </si>
  <si>
    <t>ICM0107_COSAG.1_Prymnesiophyceae</t>
  </si>
  <si>
    <t>Chrysochromulina acantha_98.4a</t>
  </si>
  <si>
    <t>ICM0108_SAG.1_Prymnesiophyceae</t>
  </si>
  <si>
    <t>Chrysochromulina andersonii_98.9</t>
  </si>
  <si>
    <t>ICM0110_SAG.1_Prymnesiophyceae</t>
  </si>
  <si>
    <t>Chrysochromulina campanulifera_98.7</t>
  </si>
  <si>
    <t>ICM0111_SAG.1_Prymnesiophyceae</t>
  </si>
  <si>
    <t>Chrysochromulina simplex_98.7</t>
  </si>
  <si>
    <t>ICM0112_SAG.1_Prymnesiophyceae</t>
  </si>
  <si>
    <t>Chrysochromulina_sp3</t>
  </si>
  <si>
    <t>ICM0113_SAG.1_Prymnesiophyceae</t>
  </si>
  <si>
    <t>Chrysochromulina leadbeateri_97.6</t>
  </si>
  <si>
    <t>ICM0115_COSAG.1_Prymnesiophyceae</t>
  </si>
  <si>
    <t>Chrysochromulina acantha_97.1</t>
  </si>
  <si>
    <t>ICM0116_SAG.1_Prymnesiophyceae</t>
  </si>
  <si>
    <t>Chrysochromulina scutellum_99.4</t>
  </si>
  <si>
    <t>ICM0117_SAG.1_Prymnesiophyceae</t>
  </si>
  <si>
    <t>Chrysochromulina campanulifera_98.6</t>
  </si>
  <si>
    <t>ICM0118_SAG.1_Prymnesiophyceae</t>
  </si>
  <si>
    <t>Chrysochromulina acantha_98.4b</t>
  </si>
  <si>
    <t>ICM0120_COSAG.1_Prymnesiophyceae</t>
  </si>
  <si>
    <t>Chrysochromulina simplex_98.1</t>
  </si>
  <si>
    <t>ICM0121_SAG.1_Prymnesiophyceae</t>
  </si>
  <si>
    <t>Chrysochromulina scutellum_97.7</t>
  </si>
  <si>
    <t>ICM0122_COSAG.1_Prymnesiophyceae</t>
  </si>
  <si>
    <t>Chrysochromulina simplex_99.8</t>
  </si>
  <si>
    <t>ICM0123_SAG.1_Prymnesiophyceae</t>
  </si>
  <si>
    <t>Chrysochromulina scutellum_97.6</t>
  </si>
  <si>
    <t>ICM0124_SAG.1_Prymnesiophyceae</t>
  </si>
  <si>
    <t>Chrysochromulina simplex_99.4b</t>
  </si>
  <si>
    <t>ICM0125_SAG.1_Prymnesiophyceae</t>
  </si>
  <si>
    <t>Chrysochromulina acantha_99.2</t>
  </si>
  <si>
    <t>ICM0126_SAG.1_Prymnesiophyceae</t>
  </si>
  <si>
    <t>Chrysochromulina acantha_99.3</t>
  </si>
  <si>
    <t>ICM0127_SAG.1_Prymnesiophyceae</t>
  </si>
  <si>
    <t>Chrysochromulina simplex</t>
  </si>
  <si>
    <t>ICM0128_SAG.1_Prymnesiophyceae</t>
  </si>
  <si>
    <t>Chrysochromulina strobilus_98.3</t>
  </si>
  <si>
    <t>ICM0129_SAG.1_Prymnesiophyceae</t>
  </si>
  <si>
    <t>Chrysochromulina scutellum_97.5</t>
  </si>
  <si>
    <t>ICM0130_SAG.1_Prymnesiophyceae</t>
  </si>
  <si>
    <t>Chrysochromulina scutellum_97.4</t>
  </si>
  <si>
    <t>ICM0131_SAG.1_Prymnesiophyceae</t>
  </si>
  <si>
    <t>Chrysochromulina andersonii _98.1</t>
  </si>
  <si>
    <t>ICM0132_SAG.1_Prymnesiophyceae</t>
  </si>
  <si>
    <t>Chrysochromulina_sp4</t>
  </si>
  <si>
    <t>ICM0142_SAG.1_Prymnesiophyceae</t>
  </si>
  <si>
    <t>Chrysochromulina scutellum_97.3</t>
  </si>
  <si>
    <t>ICM0070_SAG.1_Chrysophyceae</t>
  </si>
  <si>
    <t>Ochromonas villosa_97.0</t>
  </si>
  <si>
    <t>Chrysophyceae-C</t>
  </si>
  <si>
    <t>Chrysophyceae</t>
  </si>
  <si>
    <t>ICM0080_SAG.1_Chrysophyceae</t>
  </si>
  <si>
    <t>Chrysophyceae sp2</t>
  </si>
  <si>
    <t>ICM0085_SAG.1_Chrysophyceae</t>
  </si>
  <si>
    <t>Ochromonas villosa_96.8</t>
  </si>
  <si>
    <t>ICM0038_SAG.1_Chrysophyceae</t>
  </si>
  <si>
    <t>Paraphysomonas imperforata_99.1</t>
  </si>
  <si>
    <t>Chrysophyceae-F1</t>
  </si>
  <si>
    <t>ICM0002_COSAG.1_Chrysophyceae</t>
  </si>
  <si>
    <t>Mallomonas annulata_93.1</t>
  </si>
  <si>
    <t>Chrysophyceae-G</t>
  </si>
  <si>
    <t>ICM0053_COSAG.1_Chrysophyceae</t>
  </si>
  <si>
    <t>Mallomonas annulata_93.3</t>
  </si>
  <si>
    <t>ICM0092_COSAG.1_Chrysophyceae</t>
  </si>
  <si>
    <t>Mallomonas annulata_93.2</t>
  </si>
  <si>
    <t>ICM0029_SAG.1_Chrysophyceae</t>
  </si>
  <si>
    <t>Chrysophyceae sp1</t>
  </si>
  <si>
    <t>Chrysophyceae-H</t>
  </si>
  <si>
    <t>ICM0031_SAG.1_Chrysophyceae</t>
  </si>
  <si>
    <t>Paraphysomonas imperforata_91.9</t>
  </si>
  <si>
    <t>ICM0079_COSAG.1_Chrysophyceae</t>
  </si>
  <si>
    <t>Mallomonas doignonii_92.4</t>
  </si>
  <si>
    <t>ICM0086_SAG.1_Chrysophyceae</t>
  </si>
  <si>
    <t>Ochromonas triangulata_90.7</t>
  </si>
  <si>
    <t>ICM0098_SAG.1_Chrysophyceae</t>
  </si>
  <si>
    <t>Hydrurus foetidus_93.2</t>
  </si>
  <si>
    <t>ICM0048_COSAG.1_Chrysophyceae</t>
  </si>
  <si>
    <t>PP(75%)</t>
  </si>
  <si>
    <t>Hydrurus foetidus_92.5</t>
  </si>
  <si>
    <t>Chrysophyceae-I</t>
  </si>
  <si>
    <t>ICM0019_COSAG.1_Choanoflagellata</t>
  </si>
  <si>
    <t>Acanthocorbis camarensis_91.7</t>
  </si>
  <si>
    <t>Craspedida</t>
  </si>
  <si>
    <t>ICM0135_SAG.1_Cercozoa</t>
  </si>
  <si>
    <t>Cryothecomonas longipes_98.7</t>
  </si>
  <si>
    <r>
      <rPr>
        <i/>
        <sz val="11"/>
        <color theme="1"/>
        <rFont val="Calibri"/>
        <family val="2"/>
        <scheme val="minor"/>
      </rPr>
      <t>Cryothecomonas</t>
    </r>
    <r>
      <rPr>
        <sz val="11"/>
        <color theme="1"/>
        <rFont val="Calibri"/>
        <family val="2"/>
        <scheme val="minor"/>
      </rPr>
      <t xml:space="preserve"> sp.</t>
    </r>
  </si>
  <si>
    <t>ICM0074_SAG.1_Diatomea</t>
  </si>
  <si>
    <t>Cylindrotheca closterium_98.7</t>
  </si>
  <si>
    <r>
      <rPr>
        <i/>
        <sz val="11"/>
        <color theme="1"/>
        <rFont val="Calibri"/>
        <family val="2"/>
        <scheme val="minor"/>
      </rPr>
      <t>Cylindrotheca</t>
    </r>
    <r>
      <rPr>
        <sz val="11"/>
        <color theme="1"/>
        <rFont val="Calibri"/>
        <family val="2"/>
        <scheme val="minor"/>
      </rPr>
      <t xml:space="preserve"> sp.</t>
    </r>
  </si>
  <si>
    <t>ICM0069_SAG.1_Dictyochophyceae</t>
  </si>
  <si>
    <t>Florenciella parvula_99.3</t>
  </si>
  <si>
    <r>
      <rPr>
        <i/>
        <sz val="11"/>
        <color theme="1"/>
        <rFont val="Calibri"/>
        <family val="2"/>
        <scheme val="minor"/>
      </rPr>
      <t>Florenciella</t>
    </r>
    <r>
      <rPr>
        <sz val="11"/>
        <color theme="1"/>
        <rFont val="Calibri"/>
        <family val="2"/>
        <scheme val="minor"/>
      </rPr>
      <t xml:space="preserve"> sp.</t>
    </r>
  </si>
  <si>
    <t>Dictyochophyceae</t>
  </si>
  <si>
    <t>ICM0061_SAG.1_Basidiomycota</t>
  </si>
  <si>
    <t>Fuscoporia contigua_99.7</t>
  </si>
  <si>
    <r>
      <rPr>
        <i/>
        <sz val="11"/>
        <color theme="1"/>
        <rFont val="Calibri"/>
        <family val="2"/>
        <scheme val="minor"/>
      </rPr>
      <t>Fuscoporia</t>
    </r>
    <r>
      <rPr>
        <sz val="11"/>
        <color theme="1"/>
        <rFont val="Calibri"/>
        <family val="2"/>
        <scheme val="minor"/>
      </rPr>
      <t xml:space="preserve"> sp.</t>
    </r>
  </si>
  <si>
    <t>Basidiomycota</t>
  </si>
  <si>
    <t>ICM0008_SAG.1_Choanoflagellata</t>
  </si>
  <si>
    <t>Monosiga brevicollis_89.5</t>
  </si>
  <si>
    <t>MACHO-4</t>
  </si>
  <si>
    <t>ICM0073_SAG.1_Mamiellophyceae</t>
  </si>
  <si>
    <t>Mantoniella tinhauana_97.4</t>
  </si>
  <si>
    <r>
      <rPr>
        <i/>
        <sz val="11"/>
        <color theme="1"/>
        <rFont val="Calibri"/>
        <family val="2"/>
        <scheme val="minor"/>
      </rPr>
      <t>Mantoniella</t>
    </r>
    <r>
      <rPr>
        <sz val="11"/>
        <color theme="1"/>
        <rFont val="Calibri"/>
        <family val="2"/>
        <scheme val="minor"/>
      </rPr>
      <t xml:space="preserve"> sp.</t>
    </r>
  </si>
  <si>
    <t>ICM0081_SAG.1_MAST-12</t>
  </si>
  <si>
    <t>MAST-12A sp1</t>
  </si>
  <si>
    <t>MAST-12A</t>
  </si>
  <si>
    <t>MAST-12</t>
  </si>
  <si>
    <t>ICM0014_SAG.1_MAST-1</t>
  </si>
  <si>
    <t>MAST-1C sp8</t>
  </si>
  <si>
    <t>MAST-1C</t>
  </si>
  <si>
    <t>MAST-1</t>
  </si>
  <si>
    <t>ICM0026_COSAG.1_MAST-1</t>
  </si>
  <si>
    <t>MAST-1C sp1</t>
  </si>
  <si>
    <t>ICM0013_COSAG.1_MAST-1</t>
  </si>
  <si>
    <t>MAST-1D sp2</t>
  </si>
  <si>
    <t>MAST-1D</t>
  </si>
  <si>
    <t>ICM0060_SAG.1_MAST-1</t>
  </si>
  <si>
    <t>MAST-1 sp1</t>
  </si>
  <si>
    <t>ICM0006_COSAG.1_MAST-3</t>
  </si>
  <si>
    <t>MAST-3C sp2</t>
  </si>
  <si>
    <t>MAST-3C</t>
  </si>
  <si>
    <t>ICM0007_COSAG.1_MAST-3</t>
  </si>
  <si>
    <t>MAST-3C sp1</t>
  </si>
  <si>
    <t>ICM0051_COSAG.1_MAST-3</t>
  </si>
  <si>
    <t>MAST-3F sp2</t>
  </si>
  <si>
    <t>MAST-3F</t>
  </si>
  <si>
    <t>ICM0037_SAG.1_MAST-3</t>
  </si>
  <si>
    <t>MAST-3G sp5</t>
  </si>
  <si>
    <t>MAST-3G</t>
  </si>
  <si>
    <t>ICM0136_SAG.1_MAST-3</t>
  </si>
  <si>
    <t>MAST-3I sp1</t>
  </si>
  <si>
    <t>MAST-3I</t>
  </si>
  <si>
    <t>ICM0045_COSAG.1_MAST-3</t>
  </si>
  <si>
    <t>MAST-3K sp5</t>
  </si>
  <si>
    <t>MAST-3K</t>
  </si>
  <si>
    <t>ICM0144_SAG.1_MAST-3</t>
  </si>
  <si>
    <t>MAST-3K sp6</t>
  </si>
  <si>
    <t>ICM0010_COSAG.1_MAST-4</t>
  </si>
  <si>
    <t>MAST-4A sp1</t>
  </si>
  <si>
    <t>MAST-4A</t>
  </si>
  <si>
    <t>MAST-4</t>
  </si>
  <si>
    <t>ICM0042_COSAG.1_MAST-4</t>
  </si>
  <si>
    <t>pico-HP(86%)</t>
  </si>
  <si>
    <t>MAST-4C sp1</t>
  </si>
  <si>
    <t>MAST-4C</t>
  </si>
  <si>
    <t>ICM0049_SAG.1_MAST-7</t>
  </si>
  <si>
    <t>MAST-7B sp4</t>
  </si>
  <si>
    <t>MAST-7B</t>
  </si>
  <si>
    <t>MAST-7</t>
  </si>
  <si>
    <t>ICM0050_SAG.1_MAST-7</t>
  </si>
  <si>
    <t>MAST-7B sp4b</t>
  </si>
  <si>
    <t>ICM0043_COSAG.1_MAST-7</t>
  </si>
  <si>
    <t>MAST-7C sp4</t>
  </si>
  <si>
    <t>MAST-7C</t>
  </si>
  <si>
    <t>ICM0134_COSAG.1_MAST-7</t>
  </si>
  <si>
    <t>MAST-7C sp5</t>
  </si>
  <si>
    <t>ICM0052_COSAG.1_MAST-7</t>
  </si>
  <si>
    <t>pico-HP(75%)</t>
  </si>
  <si>
    <t>MAST-7D sp2</t>
  </si>
  <si>
    <t>MAST-7D</t>
  </si>
  <si>
    <t>ICM0059_SAG.1_MAST-7</t>
  </si>
  <si>
    <t>MAST-7 sp1</t>
  </si>
  <si>
    <t>ICM0017_SAG.1_MAST-8</t>
  </si>
  <si>
    <t xml:space="preserve">  </t>
  </si>
  <si>
    <t>MAST-8B</t>
  </si>
  <si>
    <t>MAST-8</t>
  </si>
  <si>
    <t>ICM0024_COSAG.1_MAST-8</t>
  </si>
  <si>
    <t>MAST-8B sp1</t>
  </si>
  <si>
    <t>ICM0023_SAG.1_MAST-8</t>
  </si>
  <si>
    <t>MAST-8D_sp15</t>
  </si>
  <si>
    <t>MAST-8D</t>
  </si>
  <si>
    <t>ICM0138_SAG.1_MAST-9</t>
  </si>
  <si>
    <t>MAST-9D sp1</t>
  </si>
  <si>
    <t>MAST-9D</t>
  </si>
  <si>
    <t>MAST-9</t>
  </si>
  <si>
    <t>ICM0095_COSAG.1_Centroplasthelida</t>
  </si>
  <si>
    <t>Meringosphaera mediterranea_97.9</t>
  </si>
  <si>
    <r>
      <rPr>
        <i/>
        <sz val="11"/>
        <color theme="1"/>
        <rFont val="Calibri"/>
        <family val="2"/>
        <scheme val="minor"/>
      </rPr>
      <t>Meringosphaera</t>
    </r>
    <r>
      <rPr>
        <sz val="11"/>
        <color theme="1"/>
        <rFont val="Calibri"/>
        <family val="2"/>
        <scheme val="minor"/>
      </rPr>
      <t xml:space="preserve"> sp.</t>
    </r>
  </si>
  <si>
    <t>ICM0001_COSAG.1_Mamiellophyceae</t>
  </si>
  <si>
    <t>Micromonas bravo_99.8</t>
  </si>
  <si>
    <r>
      <rPr>
        <i/>
        <sz val="11"/>
        <color theme="1"/>
        <rFont val="Calibri"/>
        <family val="2"/>
        <scheme val="minor"/>
      </rPr>
      <t>Micromonas</t>
    </r>
    <r>
      <rPr>
        <sz val="11"/>
        <color theme="1"/>
        <rFont val="Calibri"/>
        <family val="2"/>
        <scheme val="minor"/>
      </rPr>
      <t xml:space="preserve"> sp.</t>
    </r>
  </si>
  <si>
    <t>ICM0028_COSAG.1_Mamiellophyceae</t>
  </si>
  <si>
    <t>Micromonas pusilla_98.3</t>
  </si>
  <si>
    <t>ICM0062_COSAG.1_Mamiellophyceae</t>
  </si>
  <si>
    <t>Micromonas bravo</t>
  </si>
  <si>
    <t>ICM0063_COSAG.1_Mamiellophyceae</t>
  </si>
  <si>
    <t>Micromonas bravo_98.4a</t>
  </si>
  <si>
    <t>ICM0064_SAG.1_Mamiellophyceae</t>
  </si>
  <si>
    <t>Micromonas bravo_98.4b</t>
  </si>
  <si>
    <t>ICM0016_COSAG.1_Dictyochophyceae</t>
  </si>
  <si>
    <t>Pseudopedinella elastica_93.4</t>
  </si>
  <si>
    <t>Novel dictyochophyte clade</t>
  </si>
  <si>
    <t>ICM0025_SAG.1_Dictyochophyceae</t>
  </si>
  <si>
    <t>Pseudopedinella elastica_93.0</t>
  </si>
  <si>
    <t>ICM0027_SAG.1_Dictyochophyceae</t>
  </si>
  <si>
    <t>Pseudopedinella elastica_94.8</t>
  </si>
  <si>
    <t>ICM0004_COSAG.1_Prymnesiophyceae</t>
  </si>
  <si>
    <t>Isochrysidales sp1</t>
  </si>
  <si>
    <t>Novel Isochrysidales clade</t>
  </si>
  <si>
    <t>ICM0015_COSAG.1_Prymnesiophyceae</t>
  </si>
  <si>
    <t>Syracosphaera pulchra_96.1</t>
  </si>
  <si>
    <t>ICM0146_SAG.1_Ciliophora</t>
  </si>
  <si>
    <t>Spirotontonia grandis _97.2</t>
  </si>
  <si>
    <t>Oligotrichia</t>
  </si>
  <si>
    <t>Ciliophora</t>
  </si>
  <si>
    <t>ICM0077_COSAG.1_Mamiellophyceae</t>
  </si>
  <si>
    <t>Ostreococcus sp. RCC 143</t>
  </si>
  <si>
    <r>
      <rPr>
        <i/>
        <sz val="11"/>
        <color theme="1"/>
        <rFont val="Calibri"/>
        <family val="2"/>
        <scheme val="minor"/>
      </rPr>
      <t>Ostreococcus</t>
    </r>
    <r>
      <rPr>
        <sz val="11"/>
        <color theme="1"/>
        <rFont val="Calibri"/>
        <family val="2"/>
        <scheme val="minor"/>
      </rPr>
      <t xml:space="preserve"> sp.</t>
    </r>
  </si>
  <si>
    <t>ICM0065_COSAG.1_Prymnesiophyceae</t>
  </si>
  <si>
    <t>Phaeocystis cordata_99.6</t>
  </si>
  <si>
    <r>
      <rPr>
        <i/>
        <sz val="11"/>
        <color theme="1"/>
        <rFont val="Calibri"/>
        <family val="2"/>
        <scheme val="minor"/>
      </rPr>
      <t>Phaeocystis</t>
    </r>
    <r>
      <rPr>
        <sz val="11"/>
        <color theme="1"/>
        <rFont val="Calibri"/>
        <family val="2"/>
        <scheme val="minor"/>
      </rPr>
      <t xml:space="preserve"> sp.</t>
    </r>
  </si>
  <si>
    <t>ICM0104_SAG.1_Prymnesiophyceae</t>
  </si>
  <si>
    <t>Phaeocystis jahnii_98.0</t>
  </si>
  <si>
    <t>ICM0114_SAG.1_Prymnesiophyceae</t>
  </si>
  <si>
    <t>Phaeocystis jahnii_96.8</t>
  </si>
  <si>
    <t>ICM0066_SAG.1_Pinguiophyceae</t>
  </si>
  <si>
    <t>Phaeomonas parva_99.5</t>
  </si>
  <si>
    <r>
      <rPr>
        <i/>
        <sz val="11"/>
        <color theme="1"/>
        <rFont val="Calibri"/>
        <family val="2"/>
        <scheme val="minor"/>
      </rPr>
      <t>Phaeomonas</t>
    </r>
    <r>
      <rPr>
        <sz val="11"/>
        <color theme="1"/>
        <rFont val="Calibri"/>
        <family val="2"/>
        <scheme val="minor"/>
      </rPr>
      <t xml:space="preserve"> sp.</t>
    </r>
  </si>
  <si>
    <t>Pinguiophyceae</t>
  </si>
  <si>
    <t>ICM0147_SAG.1_Picozoa</t>
  </si>
  <si>
    <t>Picomonas judraskeda_96.1</t>
  </si>
  <si>
    <t>PIC-1</t>
  </si>
  <si>
    <t>Picozoa</t>
  </si>
  <si>
    <t>ICM0040_SAG.1_Picozoa</t>
  </si>
  <si>
    <t>Picomonas judraskeda_97.9</t>
  </si>
  <si>
    <t>PIC-1A</t>
  </si>
  <si>
    <t>ICM0036_COSAG.1_Picozoa</t>
  </si>
  <si>
    <t>Picomonas judraskeda_96.9</t>
  </si>
  <si>
    <t>PIC-1C</t>
  </si>
  <si>
    <t>ICM0055_SAG.1_Picozoa</t>
  </si>
  <si>
    <t>Picomonas judraskeda_97.1</t>
  </si>
  <si>
    <t>ICM0039_SAG.1_Telonemia</t>
  </si>
  <si>
    <t>Telonema antarcticum_96.3</t>
  </si>
  <si>
    <r>
      <rPr>
        <i/>
        <sz val="11"/>
        <color theme="1"/>
        <rFont val="Calibri"/>
        <family val="2"/>
        <scheme val="minor"/>
      </rPr>
      <t>Prymnesium</t>
    </r>
    <r>
      <rPr>
        <sz val="11"/>
        <color theme="1"/>
        <rFont val="Calibri"/>
        <family val="2"/>
        <scheme val="minor"/>
      </rPr>
      <t xml:space="preserve"> sp.</t>
    </r>
  </si>
  <si>
    <t>Telonemia</t>
  </si>
  <si>
    <t>ICM0109_SAG.1_Prymnesiophyceae</t>
  </si>
  <si>
    <t>Prymnesium palpebrale_99.2</t>
  </si>
  <si>
    <t>ICM0083_SAG.1_Prymnesiophyceae</t>
  </si>
  <si>
    <t>Prymnesium kappa_99.7</t>
  </si>
  <si>
    <t>Prymnesium-clade</t>
  </si>
  <si>
    <t>ICM0067_COSAG.1_Diatomea</t>
  </si>
  <si>
    <t>Pseudo-nitzschia delicatissima_99.4</t>
  </si>
  <si>
    <r>
      <rPr>
        <i/>
        <sz val="11"/>
        <color theme="1"/>
        <rFont val="Calibri"/>
        <family val="2"/>
        <scheme val="minor"/>
      </rPr>
      <t>Pseudo-nitzschia</t>
    </r>
    <r>
      <rPr>
        <sz val="11"/>
        <color theme="1"/>
        <rFont val="Calibri"/>
        <family val="2"/>
        <scheme val="minor"/>
      </rPr>
      <t xml:space="preserve"> sp.</t>
    </r>
  </si>
  <si>
    <t>ICM0068_COSAG.1_Diatomea</t>
  </si>
  <si>
    <t>Pseudo-nitzschia galaxiae_99.9</t>
  </si>
  <si>
    <t>ICM0141_SAG.1_Diatomea</t>
  </si>
  <si>
    <t>Pseudo-nitzschia brasiliana</t>
  </si>
  <si>
    <t>ICM0076_COSAG.1_Chlorodendrophyceae</t>
  </si>
  <si>
    <t>Tetraselmis sp. RCC7299_99.9</t>
  </si>
  <si>
    <r>
      <rPr>
        <i/>
        <sz val="11"/>
        <color theme="1"/>
        <rFont val="Calibri"/>
        <family val="2"/>
        <scheme val="minor"/>
      </rPr>
      <t>Tetraselmis</t>
    </r>
    <r>
      <rPr>
        <sz val="11"/>
        <color theme="1"/>
        <rFont val="Calibri"/>
        <family val="2"/>
        <scheme val="minor"/>
      </rPr>
      <t xml:space="preserve"> sp.</t>
    </r>
  </si>
  <si>
    <t>Chlorodendrophyceae</t>
  </si>
  <si>
    <t>ICM0140_COSAG.1_Chlorodendrophyceae</t>
  </si>
  <si>
    <t>Tetraselmis sp. RCC 500 _99.3</t>
  </si>
  <si>
    <t>ICM0091_COSAG.1_Bolidophyceae</t>
  </si>
  <si>
    <t>Triparma mediterranea_99.7</t>
  </si>
  <si>
    <r>
      <rPr>
        <i/>
        <sz val="11"/>
        <color theme="1"/>
        <rFont val="Calibri"/>
        <family val="2"/>
        <scheme val="minor"/>
      </rPr>
      <t>Triparma</t>
    </r>
    <r>
      <rPr>
        <sz val="11"/>
        <color theme="1"/>
        <rFont val="Calibri"/>
        <family val="2"/>
        <scheme val="minor"/>
      </rPr>
      <t xml:space="preserve"> sp.</t>
    </r>
  </si>
  <si>
    <t>Bolidophyceae</t>
  </si>
  <si>
    <t>ICM0137_SAG.1_Tunicaraptor</t>
  </si>
  <si>
    <t>Tunicaraptor unikontum_98.1</t>
  </si>
  <si>
    <r>
      <rPr>
        <i/>
        <sz val="11"/>
        <color theme="1"/>
        <rFont val="Calibri"/>
        <family val="2"/>
        <scheme val="minor"/>
      </rPr>
      <t>Tunicaraptor</t>
    </r>
    <r>
      <rPr>
        <sz val="11"/>
        <color theme="1"/>
        <rFont val="Calibri"/>
        <family val="2"/>
        <scheme val="minor"/>
      </rPr>
      <t xml:space="preserve"> sp</t>
    </r>
  </si>
  <si>
    <t>Tunicaraptor</t>
  </si>
  <si>
    <t>Cluster in Fig. 4</t>
  </si>
  <si>
    <t>Novel dictyochophyte</t>
  </si>
  <si>
    <t>MAST-3C/F/G</t>
  </si>
  <si>
    <t>MAST-3IK</t>
  </si>
  <si>
    <t>Chrysochromulina</t>
  </si>
  <si>
    <t>Novel Isochrysidales</t>
  </si>
  <si>
    <t>Phaeocystis</t>
  </si>
  <si>
    <t>Prymnesium</t>
  </si>
  <si>
    <t>Subgroup_Figure_4</t>
  </si>
  <si>
    <t>Subgroup_Figure_5</t>
  </si>
  <si>
    <t>Fungi</t>
  </si>
  <si>
    <t>Other ochrophyta</t>
  </si>
  <si>
    <t>Other Choanoflagellata</t>
  </si>
  <si>
    <t>Other Chrysophyceae</t>
  </si>
  <si>
    <t>Other Dictyochophyceae</t>
  </si>
  <si>
    <t>Other MAST</t>
  </si>
  <si>
    <t>Other Prymnesiophyceae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</si>
</sst>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A56F-E68B-674A-ADB8-188ED69D52E7}">
  <dimension ref="A1:Q149"/>
  <sheetViews>
    <sheetView tabSelected="1" workbookViewId="0">
      <selection activeCell="M32" sqref="M32"/>
    </sheetView>
  </sheetViews>
  <sheetFormatPr baseColWidth="10" defaultRowHeight="16" x14ac:dyDescent="0.2"/>
  <cols>
    <col min="1" max="1" width="36" style="6" customWidth="1"/>
    <col min="2" max="2" width="9.33203125" style="8" customWidth="1"/>
    <col min="3" max="6" width="9" style="6" customWidth="1"/>
    <col min="7" max="7" width="34.83203125" style="8" customWidth="1"/>
    <col min="8" max="8" width="19" style="6" customWidth="1"/>
    <col min="9" max="9" width="19" style="8" customWidth="1"/>
    <col min="10" max="10" width="10.83203125" style="6"/>
    <col min="11" max="13" width="19" style="6" customWidth="1"/>
    <col min="14" max="14" width="5.5" customWidth="1"/>
    <col min="15" max="15" width="5.5" style="6" customWidth="1"/>
    <col min="16" max="16" width="19" style="6" customWidth="1"/>
  </cols>
  <sheetData>
    <row r="1" spans="1:17" ht="32" x14ac:dyDescent="0.2">
      <c r="A1" s="1" t="s">
        <v>0</v>
      </c>
      <c r="B1" s="2" t="s">
        <v>1</v>
      </c>
      <c r="C1" s="3" t="s">
        <v>2</v>
      </c>
      <c r="D1" s="3">
        <v>2018</v>
      </c>
      <c r="E1" s="3">
        <v>2020</v>
      </c>
      <c r="F1" s="3" t="s">
        <v>3</v>
      </c>
      <c r="G1" s="3" t="s">
        <v>4</v>
      </c>
      <c r="H1" s="4" t="s">
        <v>5</v>
      </c>
      <c r="I1" s="3" t="s">
        <v>6</v>
      </c>
      <c r="J1" s="9" t="s">
        <v>395</v>
      </c>
      <c r="K1" s="17" t="s">
        <v>404</v>
      </c>
      <c r="L1" s="12" t="s">
        <v>403</v>
      </c>
      <c r="M1" s="12" t="s">
        <v>403</v>
      </c>
      <c r="N1" s="14"/>
      <c r="O1" s="12"/>
      <c r="P1" s="17" t="s">
        <v>404</v>
      </c>
    </row>
    <row r="2" spans="1:17" x14ac:dyDescent="0.2">
      <c r="A2" s="5" t="s">
        <v>227</v>
      </c>
      <c r="B2" s="6" t="s">
        <v>13</v>
      </c>
      <c r="C2" s="6">
        <v>1</v>
      </c>
      <c r="D2" s="6">
        <v>0</v>
      </c>
      <c r="E2" s="6">
        <v>1</v>
      </c>
      <c r="F2" s="6" t="s">
        <v>10</v>
      </c>
      <c r="G2" s="6" t="s">
        <v>228</v>
      </c>
      <c r="H2" s="6" t="s">
        <v>229</v>
      </c>
      <c r="I2" s="6" t="s">
        <v>230</v>
      </c>
      <c r="J2" s="6">
        <v>4</v>
      </c>
      <c r="K2" s="18" t="s">
        <v>405</v>
      </c>
      <c r="L2" s="13" t="s">
        <v>10</v>
      </c>
      <c r="M2" s="13" t="s">
        <v>249</v>
      </c>
      <c r="N2" s="15">
        <f t="shared" ref="N2:N26" si="0">COUNTIF(L$2:L$148,M2)</f>
        <v>2</v>
      </c>
      <c r="O2" s="16">
        <f>AVERAGEIF(L$2:L$148,M2,J$2:J$148)</f>
        <v>1</v>
      </c>
      <c r="P2" s="18" t="s">
        <v>405</v>
      </c>
      <c r="Q2" s="11">
        <f>COUNTIF(K$2:K$148,P2)</f>
        <v>1</v>
      </c>
    </row>
    <row r="3" spans="1:17" x14ac:dyDescent="0.2">
      <c r="A3" s="5" t="s">
        <v>387</v>
      </c>
      <c r="B3" s="6" t="s">
        <v>57</v>
      </c>
      <c r="C3" s="6">
        <v>3</v>
      </c>
      <c r="D3" s="6">
        <v>0</v>
      </c>
      <c r="E3" s="7">
        <v>3</v>
      </c>
      <c r="F3" s="7">
        <v>3</v>
      </c>
      <c r="G3" s="6" t="s">
        <v>388</v>
      </c>
      <c r="H3" s="6" t="s">
        <v>389</v>
      </c>
      <c r="I3" s="6" t="s">
        <v>390</v>
      </c>
      <c r="J3" s="6">
        <v>1</v>
      </c>
      <c r="K3" s="18" t="s">
        <v>406</v>
      </c>
      <c r="L3" s="13" t="s">
        <v>10</v>
      </c>
      <c r="M3" s="13" t="s">
        <v>400</v>
      </c>
      <c r="N3" s="15">
        <f t="shared" si="0"/>
        <v>2</v>
      </c>
      <c r="O3" s="16">
        <f>AVERAGEIF(L$2:L$148,M3,J$2:J$148)</f>
        <v>1</v>
      </c>
      <c r="P3" s="18" t="s">
        <v>406</v>
      </c>
      <c r="Q3" s="11">
        <f t="shared" ref="Q3:Q41" si="1">COUNTIF(K$2:K$148,P3)</f>
        <v>3</v>
      </c>
    </row>
    <row r="4" spans="1:17" x14ac:dyDescent="0.2">
      <c r="A4" s="5" t="s">
        <v>72</v>
      </c>
      <c r="B4" s="6" t="s">
        <v>57</v>
      </c>
      <c r="C4" s="6">
        <v>1</v>
      </c>
      <c r="D4" s="6">
        <v>0</v>
      </c>
      <c r="E4" s="6">
        <v>1</v>
      </c>
      <c r="F4" s="6" t="s">
        <v>10</v>
      </c>
      <c r="G4" s="6" t="s">
        <v>73</v>
      </c>
      <c r="H4" s="6" t="s">
        <v>10</v>
      </c>
      <c r="I4" s="6" t="s">
        <v>74</v>
      </c>
      <c r="J4" s="6">
        <v>2</v>
      </c>
      <c r="K4" s="18" t="s">
        <v>74</v>
      </c>
      <c r="L4" s="13" t="s">
        <v>74</v>
      </c>
      <c r="M4" s="13" t="s">
        <v>201</v>
      </c>
      <c r="N4" s="15">
        <f t="shared" si="0"/>
        <v>5</v>
      </c>
      <c r="O4" s="16">
        <f>AVERAGEIF(L$2:L$148,M4,J$2:J$148)</f>
        <v>1</v>
      </c>
      <c r="P4" s="18" t="s">
        <v>74</v>
      </c>
      <c r="Q4" s="11">
        <f t="shared" si="1"/>
        <v>2</v>
      </c>
    </row>
    <row r="5" spans="1:17" x14ac:dyDescent="0.2">
      <c r="A5" s="5" t="s">
        <v>309</v>
      </c>
      <c r="B5" s="6" t="s">
        <v>57</v>
      </c>
      <c r="C5" s="6">
        <v>2</v>
      </c>
      <c r="D5" s="6">
        <v>0</v>
      </c>
      <c r="E5" s="7">
        <v>2</v>
      </c>
      <c r="F5" s="7">
        <v>2</v>
      </c>
      <c r="G5" s="6" t="s">
        <v>310</v>
      </c>
      <c r="H5" s="6" t="s">
        <v>311</v>
      </c>
      <c r="I5" s="6" t="s">
        <v>74</v>
      </c>
      <c r="J5" s="6">
        <v>2</v>
      </c>
      <c r="K5" s="18" t="s">
        <v>74</v>
      </c>
      <c r="L5" s="13" t="s">
        <v>74</v>
      </c>
      <c r="M5" s="13" t="s">
        <v>397</v>
      </c>
      <c r="N5" s="15">
        <f t="shared" si="0"/>
        <v>4</v>
      </c>
      <c r="O5" s="16">
        <f>AVERAGEIF(L$2:L$148,M5,J$2:J$148)</f>
        <v>1.25</v>
      </c>
      <c r="P5" s="18" t="s">
        <v>55</v>
      </c>
      <c r="Q5" s="11">
        <f t="shared" si="1"/>
        <v>2</v>
      </c>
    </row>
    <row r="6" spans="1:17" x14ac:dyDescent="0.2">
      <c r="A6" s="5" t="s">
        <v>53</v>
      </c>
      <c r="B6" s="6" t="s">
        <v>13</v>
      </c>
      <c r="C6" s="6">
        <v>1</v>
      </c>
      <c r="D6" s="6">
        <v>0</v>
      </c>
      <c r="E6" s="6">
        <v>1</v>
      </c>
      <c r="F6" s="6" t="s">
        <v>10</v>
      </c>
      <c r="G6" s="6" t="s">
        <v>54</v>
      </c>
      <c r="H6" s="6" t="s">
        <v>10</v>
      </c>
      <c r="I6" s="6" t="s">
        <v>55</v>
      </c>
      <c r="J6" s="6">
        <v>5</v>
      </c>
      <c r="K6" s="18" t="s">
        <v>55</v>
      </c>
      <c r="L6" s="13" t="s">
        <v>55</v>
      </c>
      <c r="M6" s="13" t="s">
        <v>18</v>
      </c>
      <c r="N6" s="15">
        <f t="shared" si="0"/>
        <v>3</v>
      </c>
      <c r="O6" s="16">
        <f>AVERAGEIF(L$2:L$148,M6,J$2:J$148)</f>
        <v>1.6666666666666667</v>
      </c>
      <c r="P6" s="18" t="s">
        <v>92</v>
      </c>
      <c r="Q6" s="11">
        <f t="shared" si="1"/>
        <v>3</v>
      </c>
    </row>
    <row r="7" spans="1:17" x14ac:dyDescent="0.2">
      <c r="A7" s="5" t="s">
        <v>217</v>
      </c>
      <c r="B7" s="6" t="s">
        <v>35</v>
      </c>
      <c r="C7" s="6">
        <v>1</v>
      </c>
      <c r="D7" s="6">
        <v>0</v>
      </c>
      <c r="E7" s="6">
        <v>1</v>
      </c>
      <c r="F7" s="6" t="s">
        <v>10</v>
      </c>
      <c r="G7" s="6" t="s">
        <v>218</v>
      </c>
      <c r="H7" s="6" t="s">
        <v>219</v>
      </c>
      <c r="I7" s="6" t="s">
        <v>55</v>
      </c>
      <c r="J7" s="6">
        <v>5</v>
      </c>
      <c r="K7" s="18" t="s">
        <v>55</v>
      </c>
      <c r="L7" s="13" t="s">
        <v>55</v>
      </c>
      <c r="M7" s="13" t="s">
        <v>299</v>
      </c>
      <c r="N7" s="15">
        <f t="shared" si="0"/>
        <v>3</v>
      </c>
      <c r="O7" s="16">
        <f>AVERAGEIF(L$2:L$148,M7,J$2:J$148)</f>
        <v>1.6666666666666667</v>
      </c>
      <c r="P7" s="18" t="s">
        <v>384</v>
      </c>
      <c r="Q7" s="11">
        <f t="shared" si="1"/>
        <v>2</v>
      </c>
    </row>
    <row r="8" spans="1:17" x14ac:dyDescent="0.2">
      <c r="A8" s="5" t="s">
        <v>89</v>
      </c>
      <c r="B8" s="6" t="s">
        <v>13</v>
      </c>
      <c r="C8" s="6">
        <v>5</v>
      </c>
      <c r="D8" s="6">
        <v>5</v>
      </c>
      <c r="E8" s="6">
        <v>0</v>
      </c>
      <c r="F8" s="6">
        <v>5</v>
      </c>
      <c r="G8" s="6" t="s">
        <v>90</v>
      </c>
      <c r="H8" s="6" t="s">
        <v>91</v>
      </c>
      <c r="I8" s="6" t="s">
        <v>92</v>
      </c>
      <c r="J8" s="6">
        <v>5</v>
      </c>
      <c r="K8" s="18" t="s">
        <v>92</v>
      </c>
      <c r="L8" s="13" t="s">
        <v>10</v>
      </c>
      <c r="M8" s="13" t="s">
        <v>282</v>
      </c>
      <c r="N8" s="15">
        <f t="shared" si="0"/>
        <v>6</v>
      </c>
      <c r="O8" s="16">
        <f>AVERAGEIF(L$2:L$148,M8,J$2:J$148)</f>
        <v>1.8333333333333333</v>
      </c>
      <c r="P8" s="18" t="s">
        <v>66</v>
      </c>
      <c r="Q8" s="11">
        <f t="shared" si="1"/>
        <v>12</v>
      </c>
    </row>
    <row r="9" spans="1:17" x14ac:dyDescent="0.2">
      <c r="A9" s="5" t="s">
        <v>93</v>
      </c>
      <c r="B9" s="6" t="s">
        <v>13</v>
      </c>
      <c r="C9" s="6">
        <v>32</v>
      </c>
      <c r="D9" s="6">
        <v>0</v>
      </c>
      <c r="E9" s="7">
        <v>32</v>
      </c>
      <c r="F9" s="7">
        <v>22</v>
      </c>
      <c r="G9" s="6" t="s">
        <v>94</v>
      </c>
      <c r="H9" s="6" t="s">
        <v>91</v>
      </c>
      <c r="I9" s="6" t="s">
        <v>92</v>
      </c>
      <c r="J9" s="6">
        <v>1</v>
      </c>
      <c r="K9" s="18" t="s">
        <v>92</v>
      </c>
      <c r="L9" s="13" t="s">
        <v>10</v>
      </c>
      <c r="M9" s="13" t="s">
        <v>66</v>
      </c>
      <c r="N9" s="15">
        <f t="shared" si="0"/>
        <v>12</v>
      </c>
      <c r="O9" s="16">
        <f>AVERAGEIF(L$2:L$148,M9,J$2:J$148)</f>
        <v>1.8333333333333333</v>
      </c>
      <c r="P9" s="18" t="s">
        <v>83</v>
      </c>
      <c r="Q9" s="11">
        <f t="shared" si="1"/>
        <v>3</v>
      </c>
    </row>
    <row r="10" spans="1:17" x14ac:dyDescent="0.2">
      <c r="A10" s="5" t="s">
        <v>106</v>
      </c>
      <c r="B10" s="6" t="s">
        <v>57</v>
      </c>
      <c r="C10" s="6">
        <v>1</v>
      </c>
      <c r="D10" s="6">
        <v>0</v>
      </c>
      <c r="E10" s="6">
        <v>1</v>
      </c>
      <c r="F10" s="6" t="s">
        <v>10</v>
      </c>
      <c r="G10" s="6" t="s">
        <v>107</v>
      </c>
      <c r="H10" s="6" t="s">
        <v>108</v>
      </c>
      <c r="I10" s="6" t="s">
        <v>92</v>
      </c>
      <c r="J10" s="6">
        <v>5</v>
      </c>
      <c r="K10" s="18" t="s">
        <v>92</v>
      </c>
      <c r="L10" s="13" t="s">
        <v>10</v>
      </c>
      <c r="M10" s="13" t="s">
        <v>74</v>
      </c>
      <c r="N10" s="15">
        <f t="shared" si="0"/>
        <v>2</v>
      </c>
      <c r="O10" s="16">
        <f>AVERAGEIF(L$2:L$148,M10,J$2:J$148)</f>
        <v>2</v>
      </c>
      <c r="P10" s="18" t="s">
        <v>407</v>
      </c>
      <c r="Q10" s="11">
        <f t="shared" si="1"/>
        <v>2</v>
      </c>
    </row>
    <row r="11" spans="1:17" x14ac:dyDescent="0.2">
      <c r="A11" s="5" t="s">
        <v>381</v>
      </c>
      <c r="B11" s="6" t="s">
        <v>57</v>
      </c>
      <c r="C11" s="6">
        <v>3</v>
      </c>
      <c r="D11" s="6">
        <v>0</v>
      </c>
      <c r="E11" s="7">
        <v>3</v>
      </c>
      <c r="F11" s="7">
        <v>3</v>
      </c>
      <c r="G11" s="6" t="s">
        <v>382</v>
      </c>
      <c r="H11" s="6" t="s">
        <v>383</v>
      </c>
      <c r="I11" s="6" t="s">
        <v>384</v>
      </c>
      <c r="J11" s="6">
        <v>5</v>
      </c>
      <c r="K11" s="18" t="s">
        <v>384</v>
      </c>
      <c r="L11" s="13" t="s">
        <v>384</v>
      </c>
      <c r="M11" s="13" t="s">
        <v>274</v>
      </c>
      <c r="N11" s="15">
        <f t="shared" si="0"/>
        <v>2</v>
      </c>
      <c r="O11" s="16">
        <f>AVERAGEIF(L$2:L$148,M11,J$2:J$148)</f>
        <v>2</v>
      </c>
      <c r="P11" s="18" t="s">
        <v>183</v>
      </c>
      <c r="Q11" s="11">
        <f t="shared" si="1"/>
        <v>3</v>
      </c>
    </row>
    <row r="12" spans="1:17" x14ac:dyDescent="0.2">
      <c r="A12" s="5" t="s">
        <v>385</v>
      </c>
      <c r="B12" s="6" t="s">
        <v>57</v>
      </c>
      <c r="C12" s="6">
        <v>2</v>
      </c>
      <c r="D12" s="6">
        <v>0</v>
      </c>
      <c r="E12" s="7">
        <v>2</v>
      </c>
      <c r="F12" s="7">
        <v>2</v>
      </c>
      <c r="G12" s="6" t="s">
        <v>386</v>
      </c>
      <c r="H12" s="6" t="s">
        <v>383</v>
      </c>
      <c r="I12" s="6" t="s">
        <v>384</v>
      </c>
      <c r="J12" s="6">
        <v>4</v>
      </c>
      <c r="K12" s="18" t="s">
        <v>384</v>
      </c>
      <c r="L12" s="13" t="s">
        <v>384</v>
      </c>
      <c r="M12" s="13" t="s">
        <v>396</v>
      </c>
      <c r="N12" s="15">
        <f t="shared" si="0"/>
        <v>3</v>
      </c>
      <c r="O12" s="16">
        <f>AVERAGEIF(L$2:L$148,M12,J$2:J$148)</f>
        <v>2</v>
      </c>
      <c r="P12" s="18" t="s">
        <v>408</v>
      </c>
      <c r="Q12" s="11">
        <f t="shared" si="1"/>
        <v>2</v>
      </c>
    </row>
    <row r="13" spans="1:17" x14ac:dyDescent="0.2">
      <c r="A13" s="5" t="s">
        <v>69</v>
      </c>
      <c r="B13" s="6" t="s">
        <v>57</v>
      </c>
      <c r="C13" s="6">
        <v>1</v>
      </c>
      <c r="D13" s="6">
        <v>0</v>
      </c>
      <c r="E13" s="6">
        <v>1</v>
      </c>
      <c r="F13" s="6" t="s">
        <v>10</v>
      </c>
      <c r="G13" s="6" t="s">
        <v>70</v>
      </c>
      <c r="H13" s="6" t="s">
        <v>10</v>
      </c>
      <c r="I13" s="6" t="s">
        <v>71</v>
      </c>
      <c r="J13" s="6">
        <v>2</v>
      </c>
      <c r="K13" s="18" t="s">
        <v>66</v>
      </c>
      <c r="L13" s="13" t="s">
        <v>66</v>
      </c>
      <c r="M13" s="13" t="s">
        <v>103</v>
      </c>
      <c r="N13" s="15">
        <f t="shared" si="0"/>
        <v>6</v>
      </c>
      <c r="O13" s="16">
        <f>AVERAGEIF(L$2:L$148,M13,J$2:J$148)</f>
        <v>2.5</v>
      </c>
      <c r="P13" s="18" t="s">
        <v>194</v>
      </c>
      <c r="Q13" s="11">
        <f t="shared" si="1"/>
        <v>3</v>
      </c>
    </row>
    <row r="14" spans="1:17" x14ac:dyDescent="0.2">
      <c r="A14" s="5" t="s">
        <v>81</v>
      </c>
      <c r="B14" s="6" t="s">
        <v>13</v>
      </c>
      <c r="C14" s="6">
        <v>1</v>
      </c>
      <c r="D14" s="6">
        <v>0</v>
      </c>
      <c r="E14" s="6">
        <v>1</v>
      </c>
      <c r="F14" s="6" t="s">
        <v>10</v>
      </c>
      <c r="G14" s="6" t="s">
        <v>82</v>
      </c>
      <c r="H14" s="6" t="s">
        <v>83</v>
      </c>
      <c r="I14" s="6" t="s">
        <v>84</v>
      </c>
      <c r="J14" s="6">
        <v>2</v>
      </c>
      <c r="K14" s="18" t="s">
        <v>83</v>
      </c>
      <c r="L14" s="13" t="s">
        <v>83</v>
      </c>
      <c r="M14" s="13" t="s">
        <v>183</v>
      </c>
      <c r="N14" s="15">
        <f t="shared" si="0"/>
        <v>3</v>
      </c>
      <c r="O14" s="16">
        <f>AVERAGEIF(L$2:L$148,M14,J$2:J$148)</f>
        <v>2.6666666666666665</v>
      </c>
      <c r="P14" s="18" t="s">
        <v>201</v>
      </c>
      <c r="Q14" s="11">
        <f t="shared" si="1"/>
        <v>5</v>
      </c>
    </row>
    <row r="15" spans="1:17" x14ac:dyDescent="0.2">
      <c r="A15" s="5" t="s">
        <v>85</v>
      </c>
      <c r="B15" s="6" t="s">
        <v>35</v>
      </c>
      <c r="C15" s="6">
        <v>1</v>
      </c>
      <c r="D15" s="6">
        <v>0</v>
      </c>
      <c r="E15" s="6">
        <v>1</v>
      </c>
      <c r="F15" s="6" t="s">
        <v>10</v>
      </c>
      <c r="G15" s="6" t="s">
        <v>86</v>
      </c>
      <c r="H15" s="6" t="s">
        <v>83</v>
      </c>
      <c r="I15" s="6" t="s">
        <v>84</v>
      </c>
      <c r="J15" s="6">
        <v>4</v>
      </c>
      <c r="K15" s="18" t="s">
        <v>83</v>
      </c>
      <c r="L15" s="13" t="s">
        <v>83</v>
      </c>
      <c r="M15" s="13" t="s">
        <v>356</v>
      </c>
      <c r="N15" s="15">
        <f t="shared" si="0"/>
        <v>4</v>
      </c>
      <c r="O15" s="16">
        <f>AVERAGEIF(L$2:L$148,M15,J$2:J$148)</f>
        <v>3</v>
      </c>
      <c r="P15" s="18" t="s">
        <v>338</v>
      </c>
      <c r="Q15" s="11">
        <f t="shared" si="1"/>
        <v>1</v>
      </c>
    </row>
    <row r="16" spans="1:17" x14ac:dyDescent="0.2">
      <c r="A16" s="5" t="s">
        <v>87</v>
      </c>
      <c r="B16" s="6" t="s">
        <v>35</v>
      </c>
      <c r="C16" s="6">
        <v>1</v>
      </c>
      <c r="D16" s="6">
        <v>0</v>
      </c>
      <c r="E16" s="6">
        <v>1</v>
      </c>
      <c r="F16" s="6" t="s">
        <v>10</v>
      </c>
      <c r="G16" s="6" t="s">
        <v>88</v>
      </c>
      <c r="H16" s="6" t="s">
        <v>83</v>
      </c>
      <c r="I16" s="6" t="s">
        <v>84</v>
      </c>
      <c r="J16" s="6">
        <v>4</v>
      </c>
      <c r="K16" s="18" t="s">
        <v>83</v>
      </c>
      <c r="L16" s="13" t="s">
        <v>83</v>
      </c>
      <c r="M16" s="13" t="s">
        <v>399</v>
      </c>
      <c r="N16" s="15">
        <f t="shared" si="0"/>
        <v>35</v>
      </c>
      <c r="O16" s="16">
        <f>AVERAGEIF(L$2:L$148,M16,J$2:J$148)</f>
        <v>3.3142857142857145</v>
      </c>
      <c r="P16" s="18" t="s">
        <v>103</v>
      </c>
      <c r="Q16" s="11">
        <f t="shared" si="1"/>
        <v>6</v>
      </c>
    </row>
    <row r="17" spans="1:17" x14ac:dyDescent="0.2">
      <c r="A17" s="5" t="s">
        <v>214</v>
      </c>
      <c r="B17" s="6" t="s">
        <v>13</v>
      </c>
      <c r="C17" s="6">
        <v>8</v>
      </c>
      <c r="D17" s="6">
        <v>1</v>
      </c>
      <c r="E17" s="7">
        <v>7</v>
      </c>
      <c r="F17" s="6">
        <v>6</v>
      </c>
      <c r="G17" s="6" t="s">
        <v>215</v>
      </c>
      <c r="H17" s="6" t="s">
        <v>216</v>
      </c>
      <c r="I17" s="6" t="s">
        <v>84</v>
      </c>
      <c r="J17" s="6">
        <v>2</v>
      </c>
      <c r="K17" s="18" t="s">
        <v>407</v>
      </c>
      <c r="L17" s="13" t="s">
        <v>10</v>
      </c>
      <c r="M17" s="13" t="s">
        <v>83</v>
      </c>
      <c r="N17" s="15">
        <f t="shared" si="0"/>
        <v>3</v>
      </c>
      <c r="O17" s="16">
        <f>AVERAGEIF(L$2:L$148,M17,J$2:J$148)</f>
        <v>3.3333333333333335</v>
      </c>
      <c r="P17" s="18" t="s">
        <v>409</v>
      </c>
      <c r="Q17" s="11">
        <f t="shared" si="1"/>
        <v>1</v>
      </c>
    </row>
    <row r="18" spans="1:17" x14ac:dyDescent="0.2">
      <c r="A18" s="5" t="s">
        <v>231</v>
      </c>
      <c r="B18" s="6" t="s">
        <v>13</v>
      </c>
      <c r="C18" s="6">
        <v>1</v>
      </c>
      <c r="D18" s="6">
        <v>1</v>
      </c>
      <c r="E18" s="6">
        <v>0</v>
      </c>
      <c r="F18" s="6" t="s">
        <v>10</v>
      </c>
      <c r="G18" s="6" t="s">
        <v>232</v>
      </c>
      <c r="H18" s="6" t="s">
        <v>233</v>
      </c>
      <c r="I18" s="6" t="s">
        <v>84</v>
      </c>
      <c r="J18" s="6">
        <v>1</v>
      </c>
      <c r="K18" s="18" t="s">
        <v>407</v>
      </c>
      <c r="L18" s="13" t="s">
        <v>10</v>
      </c>
      <c r="M18" s="13" t="s">
        <v>401</v>
      </c>
      <c r="N18" s="15">
        <f t="shared" si="0"/>
        <v>3</v>
      </c>
      <c r="O18" s="16">
        <f>AVERAGEIF(L$2:L$148,M18,J$2:J$148)</f>
        <v>3.3333333333333335</v>
      </c>
      <c r="P18" s="18" t="s">
        <v>396</v>
      </c>
      <c r="Q18" s="11">
        <f t="shared" si="1"/>
        <v>3</v>
      </c>
    </row>
    <row r="19" spans="1:17" x14ac:dyDescent="0.2">
      <c r="A19" s="5" t="s">
        <v>181</v>
      </c>
      <c r="B19" s="6" t="s">
        <v>57</v>
      </c>
      <c r="C19" s="6">
        <v>1</v>
      </c>
      <c r="D19" s="6">
        <v>0</v>
      </c>
      <c r="E19" s="6">
        <v>1</v>
      </c>
      <c r="F19" s="6" t="s">
        <v>10</v>
      </c>
      <c r="G19" s="6" t="s">
        <v>182</v>
      </c>
      <c r="H19" s="6" t="s">
        <v>183</v>
      </c>
      <c r="I19" s="6" t="s">
        <v>184</v>
      </c>
      <c r="J19" s="6">
        <v>2</v>
      </c>
      <c r="K19" s="18" t="s">
        <v>183</v>
      </c>
      <c r="L19" s="13" t="s">
        <v>183</v>
      </c>
      <c r="M19" s="13" t="s">
        <v>402</v>
      </c>
      <c r="N19" s="15">
        <f t="shared" si="0"/>
        <v>2</v>
      </c>
      <c r="O19" s="16">
        <f>AVERAGEIF(L$2:L$148,M19,J$2:J$148)</f>
        <v>3.5</v>
      </c>
      <c r="P19" s="18" t="s">
        <v>77</v>
      </c>
      <c r="Q19" s="11">
        <f t="shared" si="1"/>
        <v>1</v>
      </c>
    </row>
    <row r="20" spans="1:17" x14ac:dyDescent="0.2">
      <c r="A20" s="5" t="s">
        <v>185</v>
      </c>
      <c r="B20" s="6" t="s">
        <v>57</v>
      </c>
      <c r="C20" s="6">
        <v>1</v>
      </c>
      <c r="D20" s="6">
        <v>0</v>
      </c>
      <c r="E20" s="6">
        <v>1</v>
      </c>
      <c r="F20" s="6" t="s">
        <v>10</v>
      </c>
      <c r="G20" s="6" t="s">
        <v>186</v>
      </c>
      <c r="H20" s="6" t="s">
        <v>183</v>
      </c>
      <c r="I20" s="6" t="s">
        <v>184</v>
      </c>
      <c r="J20" s="6">
        <v>4</v>
      </c>
      <c r="K20" s="18" t="s">
        <v>183</v>
      </c>
      <c r="L20" s="13" t="s">
        <v>183</v>
      </c>
      <c r="M20" s="13" t="s">
        <v>25</v>
      </c>
      <c r="N20" s="15">
        <f t="shared" si="0"/>
        <v>5</v>
      </c>
      <c r="O20" s="16">
        <f>AVERAGEIF(L$2:L$148,M20,J$2:J$148)</f>
        <v>3.6</v>
      </c>
      <c r="P20" s="18" t="s">
        <v>47</v>
      </c>
      <c r="Q20" s="11">
        <f t="shared" si="1"/>
        <v>1</v>
      </c>
    </row>
    <row r="21" spans="1:17" x14ac:dyDescent="0.2">
      <c r="A21" s="5" t="s">
        <v>187</v>
      </c>
      <c r="B21" s="6" t="s">
        <v>57</v>
      </c>
      <c r="C21" s="6">
        <v>1</v>
      </c>
      <c r="D21" s="6">
        <v>0</v>
      </c>
      <c r="E21" s="6">
        <v>1</v>
      </c>
      <c r="F21" s="6" t="s">
        <v>10</v>
      </c>
      <c r="G21" s="6" t="s">
        <v>188</v>
      </c>
      <c r="H21" s="6" t="s">
        <v>183</v>
      </c>
      <c r="I21" s="6" t="s">
        <v>184</v>
      </c>
      <c r="J21" s="6">
        <v>2</v>
      </c>
      <c r="K21" s="18" t="s">
        <v>183</v>
      </c>
      <c r="L21" s="13" t="s">
        <v>183</v>
      </c>
      <c r="M21" s="13" t="s">
        <v>243</v>
      </c>
      <c r="N21" s="15">
        <f t="shared" si="0"/>
        <v>2</v>
      </c>
      <c r="O21" s="16">
        <f>AVERAGEIF(L$2:L$148,M21,J$2:J$148)</f>
        <v>4</v>
      </c>
      <c r="P21" s="18" t="s">
        <v>80</v>
      </c>
      <c r="Q21" s="11">
        <f t="shared" si="1"/>
        <v>1</v>
      </c>
    </row>
    <row r="22" spans="1:17" x14ac:dyDescent="0.2">
      <c r="A22" s="5" t="s">
        <v>189</v>
      </c>
      <c r="B22" s="6" t="s">
        <v>35</v>
      </c>
      <c r="C22" s="6">
        <v>1</v>
      </c>
      <c r="D22" s="6">
        <v>1</v>
      </c>
      <c r="E22" s="6">
        <v>0</v>
      </c>
      <c r="F22" s="6" t="s">
        <v>10</v>
      </c>
      <c r="G22" s="6" t="s">
        <v>190</v>
      </c>
      <c r="H22" s="6" t="s">
        <v>191</v>
      </c>
      <c r="I22" s="6" t="s">
        <v>184</v>
      </c>
      <c r="J22" s="6">
        <v>2</v>
      </c>
      <c r="K22" s="18" t="s">
        <v>408</v>
      </c>
      <c r="L22" s="13" t="s">
        <v>10</v>
      </c>
      <c r="M22" s="13" t="s">
        <v>194</v>
      </c>
      <c r="N22" s="15">
        <f t="shared" si="0"/>
        <v>3</v>
      </c>
      <c r="O22" s="16">
        <f>AVERAGEIF(L$2:L$148,M22,J$2:J$148)</f>
        <v>4</v>
      </c>
      <c r="P22" s="18" t="s">
        <v>18</v>
      </c>
      <c r="Q22" s="11">
        <f t="shared" si="1"/>
        <v>3</v>
      </c>
    </row>
    <row r="23" spans="1:17" x14ac:dyDescent="0.2">
      <c r="A23" s="5" t="s">
        <v>192</v>
      </c>
      <c r="B23" s="6" t="s">
        <v>13</v>
      </c>
      <c r="C23" s="6">
        <v>4</v>
      </c>
      <c r="D23" s="6">
        <v>2</v>
      </c>
      <c r="E23" s="7">
        <v>2</v>
      </c>
      <c r="F23" s="7">
        <v>4</v>
      </c>
      <c r="G23" s="6" t="s">
        <v>193</v>
      </c>
      <c r="H23" s="6" t="s">
        <v>194</v>
      </c>
      <c r="I23" s="6" t="s">
        <v>184</v>
      </c>
      <c r="J23" s="6">
        <v>4</v>
      </c>
      <c r="K23" s="18" t="s">
        <v>194</v>
      </c>
      <c r="L23" s="13" t="s">
        <v>194</v>
      </c>
      <c r="M23" s="13" t="s">
        <v>398</v>
      </c>
      <c r="N23" s="15">
        <f t="shared" si="0"/>
        <v>3</v>
      </c>
      <c r="O23" s="16">
        <f>AVERAGEIF(L$2:L$148,M23,J$2:J$148)</f>
        <v>4</v>
      </c>
      <c r="P23" s="18" t="s">
        <v>15</v>
      </c>
      <c r="Q23" s="11">
        <f t="shared" si="1"/>
        <v>4</v>
      </c>
    </row>
    <row r="24" spans="1:17" x14ac:dyDescent="0.2">
      <c r="A24" s="5" t="s">
        <v>195</v>
      </c>
      <c r="B24" s="6" t="s">
        <v>115</v>
      </c>
      <c r="C24" s="6">
        <v>3</v>
      </c>
      <c r="D24" s="6">
        <v>0</v>
      </c>
      <c r="E24" s="7">
        <v>3</v>
      </c>
      <c r="F24" s="7">
        <v>3</v>
      </c>
      <c r="G24" s="6" t="s">
        <v>196</v>
      </c>
      <c r="H24" s="6" t="s">
        <v>194</v>
      </c>
      <c r="I24" s="6" t="s">
        <v>184</v>
      </c>
      <c r="J24" s="6">
        <v>4</v>
      </c>
      <c r="K24" s="18" t="s">
        <v>194</v>
      </c>
      <c r="L24" s="13" t="s">
        <v>194</v>
      </c>
      <c r="M24" s="13" t="s">
        <v>15</v>
      </c>
      <c r="N24" s="15">
        <f t="shared" si="0"/>
        <v>4</v>
      </c>
      <c r="O24" s="16">
        <f>AVERAGEIF(L$2:L$148,M24,J$2:J$148)</f>
        <v>4</v>
      </c>
      <c r="P24" s="18" t="s">
        <v>25</v>
      </c>
      <c r="Q24" s="11">
        <f t="shared" si="1"/>
        <v>5</v>
      </c>
    </row>
    <row r="25" spans="1:17" x14ac:dyDescent="0.2">
      <c r="A25" s="5" t="s">
        <v>197</v>
      </c>
      <c r="B25" s="6" t="s">
        <v>57</v>
      </c>
      <c r="C25" s="6">
        <v>4</v>
      </c>
      <c r="D25" s="6">
        <v>0</v>
      </c>
      <c r="E25" s="7">
        <v>4</v>
      </c>
      <c r="F25" s="7">
        <v>4</v>
      </c>
      <c r="G25" s="6" t="s">
        <v>198</v>
      </c>
      <c r="H25" s="6" t="s">
        <v>194</v>
      </c>
      <c r="I25" s="6" t="s">
        <v>184</v>
      </c>
      <c r="J25" s="6">
        <v>4</v>
      </c>
      <c r="K25" s="18" t="s">
        <v>194</v>
      </c>
      <c r="L25" s="13" t="s">
        <v>194</v>
      </c>
      <c r="M25" s="13" t="s">
        <v>384</v>
      </c>
      <c r="N25" s="15">
        <f t="shared" si="0"/>
        <v>2</v>
      </c>
      <c r="O25" s="16">
        <f>AVERAGEIF(L$2:L$148,M25,J$2:J$148)</f>
        <v>4.5</v>
      </c>
      <c r="P25" s="18" t="s">
        <v>243</v>
      </c>
      <c r="Q25" s="11">
        <f t="shared" si="1"/>
        <v>2</v>
      </c>
    </row>
    <row r="26" spans="1:17" x14ac:dyDescent="0.2">
      <c r="A26" s="5" t="s">
        <v>199</v>
      </c>
      <c r="B26" s="6" t="s">
        <v>8</v>
      </c>
      <c r="C26" s="6">
        <v>1</v>
      </c>
      <c r="D26" s="6">
        <v>1</v>
      </c>
      <c r="E26" s="6">
        <v>0</v>
      </c>
      <c r="F26" s="6" t="s">
        <v>10</v>
      </c>
      <c r="G26" s="6" t="s">
        <v>200</v>
      </c>
      <c r="H26" s="6" t="s">
        <v>201</v>
      </c>
      <c r="I26" s="6" t="s">
        <v>184</v>
      </c>
      <c r="J26" s="6">
        <v>1</v>
      </c>
      <c r="K26" s="18" t="s">
        <v>201</v>
      </c>
      <c r="L26" s="13" t="s">
        <v>201</v>
      </c>
      <c r="M26" s="13" t="s">
        <v>55</v>
      </c>
      <c r="N26" s="15">
        <f t="shared" si="0"/>
        <v>2</v>
      </c>
      <c r="O26" s="16">
        <f>AVERAGEIF(L$2:L$148,M26,J$2:J$148)</f>
        <v>5</v>
      </c>
      <c r="P26" s="18" t="s">
        <v>249</v>
      </c>
      <c r="Q26" s="11">
        <f t="shared" si="1"/>
        <v>2</v>
      </c>
    </row>
    <row r="27" spans="1:17" x14ac:dyDescent="0.2">
      <c r="A27" s="5" t="s">
        <v>202</v>
      </c>
      <c r="B27" s="6" t="s">
        <v>8</v>
      </c>
      <c r="C27" s="6">
        <v>1</v>
      </c>
      <c r="D27" s="6">
        <v>1</v>
      </c>
      <c r="E27" s="6">
        <v>0</v>
      </c>
      <c r="F27" s="6" t="s">
        <v>10</v>
      </c>
      <c r="G27" s="6" t="s">
        <v>203</v>
      </c>
      <c r="H27" s="6" t="s">
        <v>201</v>
      </c>
      <c r="I27" s="6" t="s">
        <v>184</v>
      </c>
      <c r="J27" s="6">
        <v>1</v>
      </c>
      <c r="K27" s="18" t="s">
        <v>201</v>
      </c>
      <c r="L27" s="13" t="s">
        <v>201</v>
      </c>
      <c r="M27"/>
      <c r="P27" s="18" t="s">
        <v>410</v>
      </c>
      <c r="Q27" s="11">
        <f t="shared" si="1"/>
        <v>4</v>
      </c>
    </row>
    <row r="28" spans="1:17" x14ac:dyDescent="0.2">
      <c r="A28" s="5" t="s">
        <v>204</v>
      </c>
      <c r="B28" s="6" t="s">
        <v>57</v>
      </c>
      <c r="C28" s="6">
        <v>3</v>
      </c>
      <c r="D28" s="6">
        <v>0</v>
      </c>
      <c r="E28" s="7">
        <v>3</v>
      </c>
      <c r="F28" s="7">
        <v>3</v>
      </c>
      <c r="G28" s="6" t="s">
        <v>205</v>
      </c>
      <c r="H28" s="6" t="s">
        <v>201</v>
      </c>
      <c r="I28" s="6" t="s">
        <v>184</v>
      </c>
      <c r="J28" s="6">
        <v>1</v>
      </c>
      <c r="K28" s="18" t="s">
        <v>201</v>
      </c>
      <c r="L28" s="13" t="s">
        <v>201</v>
      </c>
      <c r="P28" s="18" t="s">
        <v>397</v>
      </c>
      <c r="Q28" s="11">
        <f t="shared" si="1"/>
        <v>4</v>
      </c>
    </row>
    <row r="29" spans="1:17" x14ac:dyDescent="0.2">
      <c r="A29" s="5" t="s">
        <v>206</v>
      </c>
      <c r="B29" s="6" t="s">
        <v>57</v>
      </c>
      <c r="C29" s="6">
        <v>1</v>
      </c>
      <c r="D29" s="6">
        <v>0</v>
      </c>
      <c r="E29" s="6">
        <v>1</v>
      </c>
      <c r="F29" s="6" t="s">
        <v>10</v>
      </c>
      <c r="G29" s="6" t="s">
        <v>207</v>
      </c>
      <c r="H29" s="6" t="s">
        <v>201</v>
      </c>
      <c r="I29" s="6" t="s">
        <v>184</v>
      </c>
      <c r="J29" s="6">
        <v>1</v>
      </c>
      <c r="K29" s="18" t="s">
        <v>201</v>
      </c>
      <c r="L29" s="13" t="s">
        <v>201</v>
      </c>
      <c r="O29"/>
      <c r="P29" s="18" t="s">
        <v>398</v>
      </c>
      <c r="Q29" s="11">
        <f t="shared" si="1"/>
        <v>3</v>
      </c>
    </row>
    <row r="30" spans="1:17" x14ac:dyDescent="0.2">
      <c r="A30" s="5" t="s">
        <v>208</v>
      </c>
      <c r="B30" s="6" t="s">
        <v>57</v>
      </c>
      <c r="C30" s="6">
        <v>1</v>
      </c>
      <c r="D30" s="6">
        <v>0</v>
      </c>
      <c r="E30" s="6">
        <v>1</v>
      </c>
      <c r="F30" s="6" t="s">
        <v>10</v>
      </c>
      <c r="G30" s="6" t="s">
        <v>209</v>
      </c>
      <c r="H30" s="6" t="s">
        <v>201</v>
      </c>
      <c r="I30" s="6" t="s">
        <v>184</v>
      </c>
      <c r="J30" s="6">
        <v>1</v>
      </c>
      <c r="K30" s="18" t="s">
        <v>201</v>
      </c>
      <c r="L30" s="13" t="s">
        <v>201</v>
      </c>
      <c r="M30"/>
      <c r="O30"/>
      <c r="P30" s="18" t="s">
        <v>274</v>
      </c>
      <c r="Q30" s="11">
        <f t="shared" si="1"/>
        <v>2</v>
      </c>
    </row>
    <row r="31" spans="1:17" x14ac:dyDescent="0.2">
      <c r="A31" s="5" t="s">
        <v>210</v>
      </c>
      <c r="B31" s="6" t="s">
        <v>211</v>
      </c>
      <c r="C31" s="6">
        <v>4</v>
      </c>
      <c r="D31" s="6">
        <v>0</v>
      </c>
      <c r="E31" s="7">
        <v>4</v>
      </c>
      <c r="F31" s="7">
        <v>4</v>
      </c>
      <c r="G31" s="6" t="s">
        <v>212</v>
      </c>
      <c r="H31" s="6" t="s">
        <v>213</v>
      </c>
      <c r="I31" s="6" t="s">
        <v>184</v>
      </c>
      <c r="J31" s="6">
        <v>1</v>
      </c>
      <c r="K31" s="18" t="s">
        <v>408</v>
      </c>
      <c r="L31" s="13" t="s">
        <v>10</v>
      </c>
      <c r="M31"/>
      <c r="O31"/>
      <c r="P31" s="18" t="s">
        <v>282</v>
      </c>
      <c r="Q31" s="11">
        <f t="shared" si="1"/>
        <v>6</v>
      </c>
    </row>
    <row r="32" spans="1:17" x14ac:dyDescent="0.2">
      <c r="A32" s="5" t="s">
        <v>335</v>
      </c>
      <c r="B32" s="6" t="s">
        <v>35</v>
      </c>
      <c r="C32" s="6">
        <v>1</v>
      </c>
      <c r="D32" s="6">
        <v>0</v>
      </c>
      <c r="E32" s="6">
        <v>1</v>
      </c>
      <c r="F32" s="6" t="s">
        <v>10</v>
      </c>
      <c r="G32" s="6" t="s">
        <v>336</v>
      </c>
      <c r="H32" s="6" t="s">
        <v>337</v>
      </c>
      <c r="I32" s="6" t="s">
        <v>338</v>
      </c>
      <c r="J32" s="6" t="s">
        <v>10</v>
      </c>
      <c r="K32" s="18" t="s">
        <v>338</v>
      </c>
      <c r="L32" s="13" t="s">
        <v>10</v>
      </c>
      <c r="M32"/>
      <c r="O32"/>
      <c r="P32" s="18" t="s">
        <v>299</v>
      </c>
      <c r="Q32" s="11">
        <f t="shared" si="1"/>
        <v>3</v>
      </c>
    </row>
    <row r="33" spans="1:17" x14ac:dyDescent="0.2">
      <c r="A33" s="5" t="s">
        <v>100</v>
      </c>
      <c r="B33" s="6" t="s">
        <v>57</v>
      </c>
      <c r="C33" s="6">
        <v>1</v>
      </c>
      <c r="D33" s="6">
        <v>0</v>
      </c>
      <c r="E33" s="6">
        <v>1</v>
      </c>
      <c r="F33" s="6" t="s">
        <v>10</v>
      </c>
      <c r="G33" s="6" t="s">
        <v>101</v>
      </c>
      <c r="H33" s="6" t="s">
        <v>102</v>
      </c>
      <c r="I33" s="6" t="s">
        <v>103</v>
      </c>
      <c r="J33" s="6">
        <v>2</v>
      </c>
      <c r="K33" s="18" t="s">
        <v>103</v>
      </c>
      <c r="L33" s="13" t="s">
        <v>103</v>
      </c>
      <c r="M33"/>
      <c r="O33"/>
      <c r="P33" s="18" t="s">
        <v>356</v>
      </c>
      <c r="Q33" s="11">
        <f t="shared" si="1"/>
        <v>4</v>
      </c>
    </row>
    <row r="34" spans="1:17" x14ac:dyDescent="0.2">
      <c r="A34" s="5" t="s">
        <v>104</v>
      </c>
      <c r="B34" s="6" t="s">
        <v>57</v>
      </c>
      <c r="C34" s="6">
        <v>1</v>
      </c>
      <c r="D34" s="6">
        <v>0</v>
      </c>
      <c r="E34" s="6">
        <v>1</v>
      </c>
      <c r="F34" s="6" t="s">
        <v>10</v>
      </c>
      <c r="G34" s="6" t="s">
        <v>105</v>
      </c>
      <c r="H34" s="6" t="s">
        <v>102</v>
      </c>
      <c r="I34" s="6" t="s">
        <v>103</v>
      </c>
      <c r="J34" s="6">
        <v>1</v>
      </c>
      <c r="K34" s="18" t="s">
        <v>103</v>
      </c>
      <c r="L34" s="13" t="s">
        <v>103</v>
      </c>
      <c r="M34"/>
      <c r="O34"/>
      <c r="P34" s="18" t="s">
        <v>399</v>
      </c>
      <c r="Q34" s="11">
        <f t="shared" si="1"/>
        <v>35</v>
      </c>
    </row>
    <row r="35" spans="1:17" x14ac:dyDescent="0.2">
      <c r="A35" s="5" t="s">
        <v>220</v>
      </c>
      <c r="B35" s="6" t="s">
        <v>57</v>
      </c>
      <c r="C35" s="6">
        <v>1</v>
      </c>
      <c r="D35" s="6">
        <v>0</v>
      </c>
      <c r="E35" s="6">
        <v>1</v>
      </c>
      <c r="F35" s="6" t="s">
        <v>10</v>
      </c>
      <c r="G35" s="6" t="s">
        <v>221</v>
      </c>
      <c r="H35" s="6" t="s">
        <v>222</v>
      </c>
      <c r="I35" s="6" t="s">
        <v>103</v>
      </c>
      <c r="J35" s="6">
        <v>2</v>
      </c>
      <c r="K35" s="18" t="s">
        <v>103</v>
      </c>
      <c r="L35" s="13" t="s">
        <v>103</v>
      </c>
      <c r="M35"/>
      <c r="O35"/>
      <c r="P35" s="18" t="s">
        <v>400</v>
      </c>
      <c r="Q35" s="11">
        <f t="shared" si="1"/>
        <v>2</v>
      </c>
    </row>
    <row r="36" spans="1:17" x14ac:dyDescent="0.2">
      <c r="A36" s="5" t="s">
        <v>374</v>
      </c>
      <c r="B36" s="6" t="s">
        <v>57</v>
      </c>
      <c r="C36" s="6">
        <v>3</v>
      </c>
      <c r="D36" s="6">
        <v>0</v>
      </c>
      <c r="E36" s="7">
        <v>3</v>
      </c>
      <c r="F36" s="7">
        <v>3</v>
      </c>
      <c r="G36" s="6" t="s">
        <v>375</v>
      </c>
      <c r="H36" s="6" t="s">
        <v>376</v>
      </c>
      <c r="I36" s="6" t="s">
        <v>103</v>
      </c>
      <c r="J36" s="6">
        <v>4</v>
      </c>
      <c r="K36" s="18" t="s">
        <v>103</v>
      </c>
      <c r="L36" s="13" t="s">
        <v>103</v>
      </c>
      <c r="M36"/>
      <c r="O36"/>
      <c r="P36" s="18" t="s">
        <v>401</v>
      </c>
      <c r="Q36" s="11">
        <f t="shared" si="1"/>
        <v>3</v>
      </c>
    </row>
    <row r="37" spans="1:17" x14ac:dyDescent="0.2">
      <c r="A37" s="5" t="s">
        <v>377</v>
      </c>
      <c r="B37" s="6" t="s">
        <v>57</v>
      </c>
      <c r="C37" s="6">
        <v>2</v>
      </c>
      <c r="D37" s="6">
        <v>0</v>
      </c>
      <c r="E37" s="7">
        <v>2</v>
      </c>
      <c r="F37" s="7">
        <v>2</v>
      </c>
      <c r="G37" s="6" t="s">
        <v>378</v>
      </c>
      <c r="H37" s="6" t="s">
        <v>376</v>
      </c>
      <c r="I37" s="6" t="s">
        <v>103</v>
      </c>
      <c r="J37" s="6">
        <v>2</v>
      </c>
      <c r="K37" s="18" t="s">
        <v>103</v>
      </c>
      <c r="L37" s="13" t="s">
        <v>103</v>
      </c>
      <c r="M37"/>
      <c r="O37"/>
      <c r="P37" s="18" t="s">
        <v>411</v>
      </c>
      <c r="Q37" s="11">
        <f t="shared" si="1"/>
        <v>3</v>
      </c>
    </row>
    <row r="38" spans="1:17" x14ac:dyDescent="0.2">
      <c r="A38" s="5" t="s">
        <v>379</v>
      </c>
      <c r="B38" s="6" t="s">
        <v>57</v>
      </c>
      <c r="C38" s="6">
        <v>1</v>
      </c>
      <c r="D38" s="6">
        <v>0</v>
      </c>
      <c r="E38" s="6">
        <v>1</v>
      </c>
      <c r="F38" s="6" t="s">
        <v>10</v>
      </c>
      <c r="G38" s="6" t="s">
        <v>380</v>
      </c>
      <c r="H38" s="6" t="s">
        <v>376</v>
      </c>
      <c r="I38" s="6" t="s">
        <v>103</v>
      </c>
      <c r="J38" s="6">
        <v>4</v>
      </c>
      <c r="K38" s="18" t="s">
        <v>103</v>
      </c>
      <c r="L38" s="13" t="s">
        <v>103</v>
      </c>
      <c r="M38"/>
      <c r="O38"/>
      <c r="P38" s="18" t="s">
        <v>402</v>
      </c>
      <c r="Q38" s="11">
        <f t="shared" si="1"/>
        <v>2</v>
      </c>
    </row>
    <row r="39" spans="1:17" x14ac:dyDescent="0.2">
      <c r="A39" s="5" t="s">
        <v>223</v>
      </c>
      <c r="B39" s="6" t="s">
        <v>57</v>
      </c>
      <c r="C39" s="6">
        <v>1</v>
      </c>
      <c r="D39" s="6">
        <v>0</v>
      </c>
      <c r="E39" s="6">
        <v>1</v>
      </c>
      <c r="F39" s="6" t="s">
        <v>10</v>
      </c>
      <c r="G39" s="6" t="s">
        <v>224</v>
      </c>
      <c r="H39" s="6" t="s">
        <v>225</v>
      </c>
      <c r="I39" s="6" t="s">
        <v>226</v>
      </c>
      <c r="J39" s="6">
        <v>5</v>
      </c>
      <c r="K39" s="18" t="s">
        <v>409</v>
      </c>
      <c r="L39" s="13" t="s">
        <v>10</v>
      </c>
      <c r="M39"/>
      <c r="O39"/>
      <c r="P39" s="18" t="s">
        <v>368</v>
      </c>
      <c r="Q39" s="11">
        <f t="shared" si="1"/>
        <v>1</v>
      </c>
    </row>
    <row r="40" spans="1:17" x14ac:dyDescent="0.2">
      <c r="A40" s="5" t="s">
        <v>323</v>
      </c>
      <c r="B40" s="6" t="s">
        <v>8</v>
      </c>
      <c r="C40" s="6">
        <v>3</v>
      </c>
      <c r="D40" s="6">
        <v>1</v>
      </c>
      <c r="E40" s="7">
        <v>2</v>
      </c>
      <c r="F40" s="6">
        <v>3</v>
      </c>
      <c r="G40" s="6" t="s">
        <v>324</v>
      </c>
      <c r="H40" s="6" t="s">
        <v>325</v>
      </c>
      <c r="I40" s="6" t="s">
        <v>226</v>
      </c>
      <c r="J40" s="6">
        <v>2</v>
      </c>
      <c r="K40" s="18" t="s">
        <v>396</v>
      </c>
      <c r="L40" s="13" t="s">
        <v>396</v>
      </c>
      <c r="M40"/>
      <c r="O40"/>
      <c r="P40" s="18" t="s">
        <v>394</v>
      </c>
      <c r="Q40" s="11">
        <f t="shared" si="1"/>
        <v>1</v>
      </c>
    </row>
    <row r="41" spans="1:17" x14ac:dyDescent="0.2">
      <c r="A41" s="5" t="s">
        <v>326</v>
      </c>
      <c r="B41" s="6" t="s">
        <v>35</v>
      </c>
      <c r="C41" s="6">
        <v>1</v>
      </c>
      <c r="D41" s="6">
        <v>1</v>
      </c>
      <c r="E41" s="6">
        <v>0</v>
      </c>
      <c r="F41" s="6" t="s">
        <v>10</v>
      </c>
      <c r="G41" s="6" t="s">
        <v>327</v>
      </c>
      <c r="H41" s="6" t="s">
        <v>325</v>
      </c>
      <c r="I41" s="6" t="s">
        <v>226</v>
      </c>
      <c r="J41" s="6">
        <v>2</v>
      </c>
      <c r="K41" s="18" t="s">
        <v>396</v>
      </c>
      <c r="L41" s="13" t="s">
        <v>396</v>
      </c>
      <c r="M41"/>
      <c r="O41"/>
      <c r="P41" s="18" t="s">
        <v>52</v>
      </c>
      <c r="Q41" s="11">
        <f t="shared" si="1"/>
        <v>1</v>
      </c>
    </row>
    <row r="42" spans="1:17" x14ac:dyDescent="0.2">
      <c r="A42" s="5" t="s">
        <v>328</v>
      </c>
      <c r="B42" s="6" t="s">
        <v>8</v>
      </c>
      <c r="C42" s="6">
        <v>1</v>
      </c>
      <c r="D42" s="6">
        <v>1</v>
      </c>
      <c r="E42" s="6">
        <v>0</v>
      </c>
      <c r="F42" s="6" t="s">
        <v>10</v>
      </c>
      <c r="G42" s="6" t="s">
        <v>329</v>
      </c>
      <c r="H42" s="6" t="s">
        <v>325</v>
      </c>
      <c r="I42" s="6" t="s">
        <v>226</v>
      </c>
      <c r="J42" s="6">
        <v>2</v>
      </c>
      <c r="K42" s="18" t="s">
        <v>396</v>
      </c>
      <c r="L42" s="13" t="s">
        <v>396</v>
      </c>
      <c r="M42"/>
      <c r="O42"/>
    </row>
    <row r="43" spans="1:17" x14ac:dyDescent="0.2">
      <c r="A43" s="5" t="s">
        <v>75</v>
      </c>
      <c r="B43" s="6" t="s">
        <v>57</v>
      </c>
      <c r="C43" s="6">
        <v>1</v>
      </c>
      <c r="D43" s="6">
        <v>0</v>
      </c>
      <c r="E43" s="6">
        <v>1</v>
      </c>
      <c r="F43" s="6" t="s">
        <v>10</v>
      </c>
      <c r="G43" s="6" t="s">
        <v>76</v>
      </c>
      <c r="H43" s="6" t="s">
        <v>10</v>
      </c>
      <c r="I43" s="6" t="s">
        <v>77</v>
      </c>
      <c r="J43" s="6" t="s">
        <v>10</v>
      </c>
      <c r="K43" s="18" t="s">
        <v>77</v>
      </c>
      <c r="L43" s="13" t="s">
        <v>10</v>
      </c>
      <c r="M43"/>
      <c r="O43"/>
      <c r="P43"/>
    </row>
    <row r="44" spans="1:17" x14ac:dyDescent="0.2">
      <c r="A44" s="5" t="s">
        <v>45</v>
      </c>
      <c r="B44" s="6" t="s">
        <v>13</v>
      </c>
      <c r="C44" s="6">
        <v>1</v>
      </c>
      <c r="D44" s="6">
        <v>0</v>
      </c>
      <c r="E44" s="6">
        <v>1</v>
      </c>
      <c r="F44" s="6" t="s">
        <v>10</v>
      </c>
      <c r="G44" s="6" t="s">
        <v>46</v>
      </c>
      <c r="H44" s="6" t="s">
        <v>10</v>
      </c>
      <c r="I44" s="6" t="s">
        <v>47</v>
      </c>
      <c r="J44" s="6">
        <v>2</v>
      </c>
      <c r="K44" s="18" t="s">
        <v>47</v>
      </c>
      <c r="L44" s="13" t="s">
        <v>10</v>
      </c>
      <c r="M44"/>
      <c r="O44"/>
      <c r="P44"/>
    </row>
    <row r="45" spans="1:17" x14ac:dyDescent="0.2">
      <c r="A45" s="5" t="s">
        <v>78</v>
      </c>
      <c r="B45" s="6" t="s">
        <v>35</v>
      </c>
      <c r="C45" s="6">
        <v>1</v>
      </c>
      <c r="D45" s="6">
        <v>0</v>
      </c>
      <c r="E45" s="6">
        <v>1</v>
      </c>
      <c r="F45" s="6" t="s">
        <v>10</v>
      </c>
      <c r="G45" s="6" t="s">
        <v>79</v>
      </c>
      <c r="H45" s="6" t="s">
        <v>10</v>
      </c>
      <c r="I45" s="6" t="s">
        <v>80</v>
      </c>
      <c r="J45" s="6">
        <v>1</v>
      </c>
      <c r="K45" s="18" t="s">
        <v>80</v>
      </c>
      <c r="L45" s="13" t="s">
        <v>10</v>
      </c>
      <c r="M45"/>
      <c r="O45"/>
      <c r="P45"/>
    </row>
    <row r="46" spans="1:17" x14ac:dyDescent="0.2">
      <c r="A46" s="5" t="s">
        <v>16</v>
      </c>
      <c r="B46" s="6" t="s">
        <v>13</v>
      </c>
      <c r="C46" s="6">
        <v>1</v>
      </c>
      <c r="D46" s="6">
        <v>1</v>
      </c>
      <c r="E46" s="6">
        <v>0</v>
      </c>
      <c r="F46" s="6" t="s">
        <v>10</v>
      </c>
      <c r="G46" s="6" t="s">
        <v>17</v>
      </c>
      <c r="H46" s="6" t="s">
        <v>10</v>
      </c>
      <c r="I46" s="6" t="s">
        <v>18</v>
      </c>
      <c r="J46" s="6">
        <v>2</v>
      </c>
      <c r="K46" s="18" t="s">
        <v>18</v>
      </c>
      <c r="L46" s="13" t="s">
        <v>18</v>
      </c>
      <c r="M46"/>
      <c r="O46"/>
      <c r="P46"/>
    </row>
    <row r="47" spans="1:17" x14ac:dyDescent="0.2">
      <c r="A47" s="5" t="s">
        <v>40</v>
      </c>
      <c r="B47" s="6" t="s">
        <v>13</v>
      </c>
      <c r="C47" s="6">
        <v>1</v>
      </c>
      <c r="D47" s="6">
        <v>0</v>
      </c>
      <c r="E47" s="6">
        <v>1</v>
      </c>
      <c r="F47" s="6" t="s">
        <v>10</v>
      </c>
      <c r="G47" s="6" t="s">
        <v>41</v>
      </c>
      <c r="H47" s="6" t="s">
        <v>10</v>
      </c>
      <c r="I47" s="6" t="s">
        <v>18</v>
      </c>
      <c r="J47" s="6">
        <v>1</v>
      </c>
      <c r="K47" s="18" t="s">
        <v>18</v>
      </c>
      <c r="L47" s="13" t="s">
        <v>18</v>
      </c>
      <c r="M47"/>
      <c r="O47"/>
      <c r="P47"/>
    </row>
    <row r="48" spans="1:17" x14ac:dyDescent="0.2">
      <c r="A48" s="5" t="s">
        <v>48</v>
      </c>
      <c r="B48" s="6" t="s">
        <v>13</v>
      </c>
      <c r="C48" s="6">
        <v>2</v>
      </c>
      <c r="D48" s="6">
        <v>0</v>
      </c>
      <c r="E48" s="7">
        <v>2</v>
      </c>
      <c r="F48" s="7">
        <v>2</v>
      </c>
      <c r="G48" s="6" t="s">
        <v>49</v>
      </c>
      <c r="H48" s="6" t="s">
        <v>10</v>
      </c>
      <c r="I48" s="6" t="s">
        <v>18</v>
      </c>
      <c r="J48" s="6">
        <v>2</v>
      </c>
      <c r="K48" s="18" t="s">
        <v>18</v>
      </c>
      <c r="L48" s="13" t="s">
        <v>18</v>
      </c>
      <c r="M48"/>
      <c r="O48"/>
      <c r="P48"/>
    </row>
    <row r="49" spans="1:16" x14ac:dyDescent="0.2">
      <c r="A49" s="5" t="s">
        <v>12</v>
      </c>
      <c r="B49" s="6" t="s">
        <v>13</v>
      </c>
      <c r="C49" s="6">
        <v>1</v>
      </c>
      <c r="D49" s="6">
        <v>1</v>
      </c>
      <c r="E49" s="6">
        <v>0</v>
      </c>
      <c r="F49" s="6" t="s">
        <v>10</v>
      </c>
      <c r="G49" s="6" t="s">
        <v>14</v>
      </c>
      <c r="H49" s="6" t="s">
        <v>10</v>
      </c>
      <c r="I49" s="6" t="s">
        <v>15</v>
      </c>
      <c r="J49" s="6">
        <v>5</v>
      </c>
      <c r="K49" s="18" t="s">
        <v>15</v>
      </c>
      <c r="L49" s="13" t="s">
        <v>15</v>
      </c>
      <c r="M49"/>
      <c r="O49"/>
      <c r="P49"/>
    </row>
    <row r="50" spans="1:16" x14ac:dyDescent="0.2">
      <c r="A50" s="5" t="s">
        <v>19</v>
      </c>
      <c r="B50" s="6" t="s">
        <v>13</v>
      </c>
      <c r="C50" s="6">
        <v>1</v>
      </c>
      <c r="D50" s="6">
        <v>1</v>
      </c>
      <c r="E50" s="6">
        <v>0</v>
      </c>
      <c r="F50" s="6" t="s">
        <v>10</v>
      </c>
      <c r="G50" s="6" t="s">
        <v>20</v>
      </c>
      <c r="H50" s="6" t="s">
        <v>10</v>
      </c>
      <c r="I50" s="6" t="s">
        <v>15</v>
      </c>
      <c r="J50" s="6">
        <v>5</v>
      </c>
      <c r="K50" s="18" t="s">
        <v>15</v>
      </c>
      <c r="L50" s="13" t="s">
        <v>15</v>
      </c>
      <c r="M50"/>
      <c r="O50"/>
      <c r="P50"/>
    </row>
    <row r="51" spans="1:16" x14ac:dyDescent="0.2">
      <c r="A51" s="5" t="s">
        <v>21</v>
      </c>
      <c r="B51" s="6" t="s">
        <v>13</v>
      </c>
      <c r="C51" s="6">
        <v>1</v>
      </c>
      <c r="D51" s="6">
        <v>1</v>
      </c>
      <c r="E51" s="6">
        <v>0</v>
      </c>
      <c r="F51" s="6" t="s">
        <v>10</v>
      </c>
      <c r="G51" s="6" t="s">
        <v>22</v>
      </c>
      <c r="H51" s="6" t="s">
        <v>10</v>
      </c>
      <c r="I51" s="6" t="s">
        <v>15</v>
      </c>
      <c r="J51" s="6">
        <v>3</v>
      </c>
      <c r="K51" s="18" t="s">
        <v>15</v>
      </c>
      <c r="L51" s="13" t="s">
        <v>15</v>
      </c>
      <c r="M51"/>
      <c r="O51"/>
      <c r="P51"/>
    </row>
    <row r="52" spans="1:16" x14ac:dyDescent="0.2">
      <c r="A52" s="5" t="s">
        <v>26</v>
      </c>
      <c r="B52" s="6" t="s">
        <v>13</v>
      </c>
      <c r="C52" s="6">
        <v>1</v>
      </c>
      <c r="D52" s="6">
        <v>1</v>
      </c>
      <c r="E52" s="6">
        <v>0</v>
      </c>
      <c r="F52" s="6" t="s">
        <v>10</v>
      </c>
      <c r="G52" s="6" t="s">
        <v>27</v>
      </c>
      <c r="H52" s="6" t="s">
        <v>10</v>
      </c>
      <c r="I52" s="6" t="s">
        <v>15</v>
      </c>
      <c r="J52" s="6">
        <v>3</v>
      </c>
      <c r="K52" s="18" t="s">
        <v>15</v>
      </c>
      <c r="L52" s="13" t="s">
        <v>15</v>
      </c>
      <c r="M52"/>
      <c r="O52"/>
      <c r="P52"/>
    </row>
    <row r="53" spans="1:16" x14ac:dyDescent="0.2">
      <c r="A53" s="5" t="s">
        <v>23</v>
      </c>
      <c r="B53" s="6" t="s">
        <v>13</v>
      </c>
      <c r="C53" s="6">
        <v>1</v>
      </c>
      <c r="D53" s="6">
        <v>1</v>
      </c>
      <c r="E53" s="6">
        <v>0</v>
      </c>
      <c r="F53" s="6" t="s">
        <v>10</v>
      </c>
      <c r="G53" s="6" t="s">
        <v>24</v>
      </c>
      <c r="H53" s="6" t="s">
        <v>10</v>
      </c>
      <c r="I53" s="6" t="s">
        <v>25</v>
      </c>
      <c r="J53" s="6">
        <v>1</v>
      </c>
      <c r="K53" s="18" t="s">
        <v>25</v>
      </c>
      <c r="L53" s="13" t="s">
        <v>25</v>
      </c>
      <c r="M53"/>
      <c r="O53"/>
      <c r="P53"/>
    </row>
    <row r="54" spans="1:16" x14ac:dyDescent="0.2">
      <c r="A54" s="5" t="s">
        <v>28</v>
      </c>
      <c r="B54" s="6" t="s">
        <v>13</v>
      </c>
      <c r="C54" s="6">
        <v>1</v>
      </c>
      <c r="D54" s="6">
        <v>1</v>
      </c>
      <c r="E54" s="6">
        <v>0</v>
      </c>
      <c r="F54" s="6" t="s">
        <v>10</v>
      </c>
      <c r="G54" s="6" t="s">
        <v>29</v>
      </c>
      <c r="H54" s="6" t="s">
        <v>10</v>
      </c>
      <c r="I54" s="6" t="s">
        <v>25</v>
      </c>
      <c r="J54" s="6">
        <v>5</v>
      </c>
      <c r="K54" s="18" t="s">
        <v>25</v>
      </c>
      <c r="L54" s="13" t="s">
        <v>25</v>
      </c>
      <c r="M54"/>
      <c r="O54"/>
      <c r="P54"/>
    </row>
    <row r="55" spans="1:16" x14ac:dyDescent="0.2">
      <c r="A55" s="5" t="s">
        <v>30</v>
      </c>
      <c r="B55" s="6" t="s">
        <v>13</v>
      </c>
      <c r="C55" s="6">
        <v>1</v>
      </c>
      <c r="D55" s="6">
        <v>1</v>
      </c>
      <c r="E55" s="6">
        <v>0</v>
      </c>
      <c r="F55" s="6" t="s">
        <v>10</v>
      </c>
      <c r="G55" s="6" t="s">
        <v>31</v>
      </c>
      <c r="H55" s="6" t="s">
        <v>10</v>
      </c>
      <c r="I55" s="6" t="s">
        <v>25</v>
      </c>
      <c r="J55" s="6">
        <v>2</v>
      </c>
      <c r="K55" s="18" t="s">
        <v>25</v>
      </c>
      <c r="L55" s="13" t="s">
        <v>25</v>
      </c>
      <c r="M55"/>
      <c r="O55"/>
      <c r="P55"/>
    </row>
    <row r="56" spans="1:16" x14ac:dyDescent="0.2">
      <c r="A56" s="5" t="s">
        <v>32</v>
      </c>
      <c r="B56" s="6" t="s">
        <v>13</v>
      </c>
      <c r="C56" s="6">
        <v>1</v>
      </c>
      <c r="D56" s="6">
        <v>1</v>
      </c>
      <c r="E56" s="6">
        <v>0</v>
      </c>
      <c r="F56" s="6" t="s">
        <v>10</v>
      </c>
      <c r="G56" s="6" t="s">
        <v>33</v>
      </c>
      <c r="H56" s="6" t="s">
        <v>10</v>
      </c>
      <c r="I56" s="6" t="s">
        <v>25</v>
      </c>
      <c r="J56" s="6">
        <v>5</v>
      </c>
      <c r="K56" s="18" t="s">
        <v>25</v>
      </c>
      <c r="L56" s="13" t="s">
        <v>25</v>
      </c>
      <c r="M56"/>
      <c r="O56"/>
      <c r="P56"/>
    </row>
    <row r="57" spans="1:16" x14ac:dyDescent="0.2">
      <c r="A57" s="5" t="s">
        <v>34</v>
      </c>
      <c r="B57" s="6" t="s">
        <v>35</v>
      </c>
      <c r="C57" s="6">
        <v>1</v>
      </c>
      <c r="D57" s="6">
        <v>1</v>
      </c>
      <c r="E57" s="6">
        <v>0</v>
      </c>
      <c r="F57" s="6" t="s">
        <v>10</v>
      </c>
      <c r="G57" s="6" t="s">
        <v>36</v>
      </c>
      <c r="H57" s="6" t="s">
        <v>10</v>
      </c>
      <c r="I57" s="6" t="s">
        <v>25</v>
      </c>
      <c r="J57" s="6">
        <v>5</v>
      </c>
      <c r="K57" s="18" t="s">
        <v>25</v>
      </c>
      <c r="L57" s="13" t="s">
        <v>25</v>
      </c>
      <c r="M57"/>
      <c r="O57"/>
      <c r="P57"/>
    </row>
    <row r="58" spans="1:16" x14ac:dyDescent="0.2">
      <c r="A58" s="5" t="s">
        <v>95</v>
      </c>
      <c r="B58" s="6" t="s">
        <v>8</v>
      </c>
      <c r="C58" s="6">
        <v>1</v>
      </c>
      <c r="D58" s="6">
        <v>1</v>
      </c>
      <c r="E58" s="6">
        <v>0</v>
      </c>
      <c r="F58" s="6" t="s">
        <v>10</v>
      </c>
      <c r="G58" s="6" t="s">
        <v>96</v>
      </c>
      <c r="H58" s="6" t="s">
        <v>97</v>
      </c>
      <c r="I58" s="6" t="s">
        <v>66</v>
      </c>
      <c r="J58" s="6">
        <v>1</v>
      </c>
      <c r="K58" s="18" t="s">
        <v>66</v>
      </c>
      <c r="L58" s="13" t="s">
        <v>66</v>
      </c>
      <c r="M58"/>
      <c r="O58"/>
      <c r="P58"/>
    </row>
    <row r="59" spans="1:16" x14ac:dyDescent="0.2">
      <c r="A59" s="5" t="s">
        <v>98</v>
      </c>
      <c r="B59" s="6" t="s">
        <v>57</v>
      </c>
      <c r="C59" s="6">
        <v>1</v>
      </c>
      <c r="D59" s="6">
        <v>0</v>
      </c>
      <c r="E59" s="6">
        <v>1</v>
      </c>
      <c r="F59" s="6" t="s">
        <v>10</v>
      </c>
      <c r="G59" s="6" t="s">
        <v>99</v>
      </c>
      <c r="H59" s="6" t="s">
        <v>97</v>
      </c>
      <c r="I59" s="6" t="s">
        <v>66</v>
      </c>
      <c r="J59" s="6">
        <v>1</v>
      </c>
      <c r="K59" s="18" t="s">
        <v>66</v>
      </c>
      <c r="L59" s="13" t="s">
        <v>66</v>
      </c>
      <c r="M59"/>
      <c r="O59"/>
      <c r="P59"/>
    </row>
    <row r="60" spans="1:16" x14ac:dyDescent="0.2">
      <c r="A60" s="5" t="s">
        <v>64</v>
      </c>
      <c r="B60" s="6" t="s">
        <v>57</v>
      </c>
      <c r="C60" s="6">
        <v>1</v>
      </c>
      <c r="D60" s="6">
        <v>0</v>
      </c>
      <c r="E60" s="6">
        <v>1</v>
      </c>
      <c r="F60" s="6" t="s">
        <v>10</v>
      </c>
      <c r="G60" s="6" t="s">
        <v>65</v>
      </c>
      <c r="H60" s="6" t="s">
        <v>10</v>
      </c>
      <c r="I60" s="6" t="s">
        <v>66</v>
      </c>
      <c r="J60" s="6">
        <v>3</v>
      </c>
      <c r="K60" s="18" t="s">
        <v>66</v>
      </c>
      <c r="L60" s="13" t="s">
        <v>66</v>
      </c>
      <c r="M60"/>
      <c r="O60"/>
      <c r="P60"/>
    </row>
    <row r="61" spans="1:16" x14ac:dyDescent="0.2">
      <c r="A61" s="5" t="s">
        <v>67</v>
      </c>
      <c r="B61" s="6" t="s">
        <v>57</v>
      </c>
      <c r="C61" s="6">
        <v>1</v>
      </c>
      <c r="D61" s="6">
        <v>0</v>
      </c>
      <c r="E61" s="6">
        <v>1</v>
      </c>
      <c r="F61" s="6" t="s">
        <v>10</v>
      </c>
      <c r="G61" s="6" t="s">
        <v>68</v>
      </c>
      <c r="H61" s="6" t="s">
        <v>10</v>
      </c>
      <c r="I61" s="6" t="s">
        <v>66</v>
      </c>
      <c r="J61" s="6">
        <v>1</v>
      </c>
      <c r="K61" s="18" t="s">
        <v>66</v>
      </c>
      <c r="L61" s="13" t="s">
        <v>66</v>
      </c>
      <c r="M61"/>
      <c r="O61"/>
      <c r="P61"/>
    </row>
    <row r="62" spans="1:16" x14ac:dyDescent="0.2">
      <c r="A62" s="5" t="s">
        <v>234</v>
      </c>
      <c r="B62" s="6" t="s">
        <v>57</v>
      </c>
      <c r="C62" s="6">
        <v>1</v>
      </c>
      <c r="D62" s="6">
        <v>0</v>
      </c>
      <c r="E62" s="6">
        <v>1</v>
      </c>
      <c r="F62" s="6" t="s">
        <v>10</v>
      </c>
      <c r="G62" s="6" t="s">
        <v>235</v>
      </c>
      <c r="H62" s="6" t="s">
        <v>236</v>
      </c>
      <c r="I62" s="6" t="s">
        <v>66</v>
      </c>
      <c r="J62" s="6">
        <v>4</v>
      </c>
      <c r="K62" s="18" t="s">
        <v>66</v>
      </c>
      <c r="L62" s="13" t="s">
        <v>66</v>
      </c>
      <c r="M62"/>
      <c r="O62"/>
      <c r="P62"/>
    </row>
    <row r="63" spans="1:16" x14ac:dyDescent="0.2">
      <c r="A63" s="5" t="s">
        <v>312</v>
      </c>
      <c r="B63" s="6" t="s">
        <v>8</v>
      </c>
      <c r="C63" s="6">
        <v>11</v>
      </c>
      <c r="D63" s="6">
        <v>6</v>
      </c>
      <c r="E63" s="7">
        <v>5</v>
      </c>
      <c r="F63" s="7">
        <v>11</v>
      </c>
      <c r="G63" s="6" t="s">
        <v>313</v>
      </c>
      <c r="H63" s="6" t="s">
        <v>314</v>
      </c>
      <c r="I63" s="6" t="s">
        <v>66</v>
      </c>
      <c r="J63" s="6">
        <v>1</v>
      </c>
      <c r="K63" s="18" t="s">
        <v>66</v>
      </c>
      <c r="L63" s="13" t="s">
        <v>66</v>
      </c>
      <c r="M63"/>
      <c r="O63"/>
      <c r="P63"/>
    </row>
    <row r="64" spans="1:16" x14ac:dyDescent="0.2">
      <c r="A64" s="5" t="s">
        <v>315</v>
      </c>
      <c r="B64" s="6" t="s">
        <v>8</v>
      </c>
      <c r="C64" s="6">
        <v>7</v>
      </c>
      <c r="D64" s="6">
        <v>1</v>
      </c>
      <c r="E64" s="7">
        <v>6</v>
      </c>
      <c r="F64" s="7">
        <v>7</v>
      </c>
      <c r="G64" s="6" t="s">
        <v>316</v>
      </c>
      <c r="H64" s="6" t="s">
        <v>314</v>
      </c>
      <c r="I64" s="6" t="s">
        <v>66</v>
      </c>
      <c r="J64" s="6">
        <v>2</v>
      </c>
      <c r="K64" s="18" t="s">
        <v>66</v>
      </c>
      <c r="L64" s="13" t="s">
        <v>66</v>
      </c>
      <c r="M64"/>
      <c r="O64"/>
      <c r="P64"/>
    </row>
    <row r="65" spans="1:16" x14ac:dyDescent="0.2">
      <c r="A65" s="5" t="s">
        <v>317</v>
      </c>
      <c r="B65" s="6" t="s">
        <v>57</v>
      </c>
      <c r="C65" s="6">
        <v>25</v>
      </c>
      <c r="D65" s="6">
        <v>0</v>
      </c>
      <c r="E65" s="7">
        <v>25</v>
      </c>
      <c r="F65" s="7">
        <v>24</v>
      </c>
      <c r="G65" s="6" t="s">
        <v>318</v>
      </c>
      <c r="H65" s="6" t="s">
        <v>314</v>
      </c>
      <c r="I65" s="6" t="s">
        <v>66</v>
      </c>
      <c r="J65" s="6">
        <v>2</v>
      </c>
      <c r="K65" s="18" t="s">
        <v>66</v>
      </c>
      <c r="L65" s="13" t="s">
        <v>66</v>
      </c>
      <c r="M65"/>
      <c r="O65"/>
      <c r="P65"/>
    </row>
    <row r="66" spans="1:16" x14ac:dyDescent="0.2">
      <c r="A66" s="5" t="s">
        <v>319</v>
      </c>
      <c r="B66" s="6" t="s">
        <v>57</v>
      </c>
      <c r="C66" s="6">
        <v>7</v>
      </c>
      <c r="D66" s="6">
        <v>0</v>
      </c>
      <c r="E66" s="7">
        <v>7</v>
      </c>
      <c r="F66" s="7">
        <v>7</v>
      </c>
      <c r="G66" s="6" t="s">
        <v>320</v>
      </c>
      <c r="H66" s="6" t="s">
        <v>314</v>
      </c>
      <c r="I66" s="6" t="s">
        <v>66</v>
      </c>
      <c r="J66" s="6">
        <v>2</v>
      </c>
      <c r="K66" s="18" t="s">
        <v>66</v>
      </c>
      <c r="L66" s="13" t="s">
        <v>66</v>
      </c>
      <c r="M66"/>
      <c r="O66"/>
      <c r="P66"/>
    </row>
    <row r="67" spans="1:16" x14ac:dyDescent="0.2">
      <c r="A67" s="5" t="s">
        <v>321</v>
      </c>
      <c r="B67" s="6" t="s">
        <v>57</v>
      </c>
      <c r="C67" s="6">
        <v>1</v>
      </c>
      <c r="D67" s="6">
        <v>0</v>
      </c>
      <c r="E67" s="6">
        <v>1</v>
      </c>
      <c r="F67" s="6" t="s">
        <v>10</v>
      </c>
      <c r="G67" s="6" t="s">
        <v>322</v>
      </c>
      <c r="H67" s="6" t="s">
        <v>314</v>
      </c>
      <c r="I67" s="6" t="s">
        <v>66</v>
      </c>
      <c r="J67" s="6">
        <v>2</v>
      </c>
      <c r="K67" s="18" t="s">
        <v>66</v>
      </c>
      <c r="L67" s="13" t="s">
        <v>66</v>
      </c>
      <c r="M67"/>
      <c r="O67"/>
      <c r="P67"/>
    </row>
    <row r="68" spans="1:16" x14ac:dyDescent="0.2">
      <c r="A68" s="5" t="s">
        <v>339</v>
      </c>
      <c r="B68" s="6" t="s">
        <v>57</v>
      </c>
      <c r="C68" s="6">
        <v>8</v>
      </c>
      <c r="D68" s="6">
        <v>0</v>
      </c>
      <c r="E68" s="7">
        <v>8</v>
      </c>
      <c r="F68" s="7">
        <v>8</v>
      </c>
      <c r="G68" s="6" t="s">
        <v>340</v>
      </c>
      <c r="H68" s="6" t="s">
        <v>341</v>
      </c>
      <c r="I68" s="6" t="s">
        <v>66</v>
      </c>
      <c r="J68" s="6">
        <v>1</v>
      </c>
      <c r="K68" s="18" t="s">
        <v>66</v>
      </c>
      <c r="L68" s="13" t="s">
        <v>66</v>
      </c>
      <c r="M68"/>
      <c r="O68"/>
      <c r="P68"/>
    </row>
    <row r="69" spans="1:16" x14ac:dyDescent="0.2">
      <c r="A69" s="5" t="s">
        <v>241</v>
      </c>
      <c r="B69" s="6" t="s">
        <v>35</v>
      </c>
      <c r="C69" s="6">
        <v>1</v>
      </c>
      <c r="D69" s="6">
        <v>1</v>
      </c>
      <c r="E69" s="6">
        <v>0</v>
      </c>
      <c r="F69" s="6" t="s">
        <v>10</v>
      </c>
      <c r="G69" s="6" t="s">
        <v>242</v>
      </c>
      <c r="H69" s="6" t="s">
        <v>243</v>
      </c>
      <c r="I69" s="6" t="s">
        <v>244</v>
      </c>
      <c r="J69" s="6">
        <v>5</v>
      </c>
      <c r="K69" s="18" t="s">
        <v>243</v>
      </c>
      <c r="L69" s="13" t="s">
        <v>243</v>
      </c>
      <c r="M69"/>
      <c r="O69"/>
      <c r="P69"/>
    </row>
    <row r="70" spans="1:16" x14ac:dyDescent="0.2">
      <c r="A70" s="5" t="s">
        <v>245</v>
      </c>
      <c r="B70" s="6" t="s">
        <v>35</v>
      </c>
      <c r="C70" s="6">
        <v>2</v>
      </c>
      <c r="D70" s="6">
        <v>2</v>
      </c>
      <c r="E70" s="6">
        <v>0</v>
      </c>
      <c r="F70" s="6">
        <v>2</v>
      </c>
      <c r="G70" s="6" t="s">
        <v>246</v>
      </c>
      <c r="H70" s="6" t="s">
        <v>243</v>
      </c>
      <c r="I70" s="6" t="s">
        <v>244</v>
      </c>
      <c r="J70" s="6">
        <v>3</v>
      </c>
      <c r="K70" s="18" t="s">
        <v>243</v>
      </c>
      <c r="L70" s="13" t="s">
        <v>243</v>
      </c>
      <c r="M70"/>
      <c r="O70"/>
      <c r="P70"/>
    </row>
    <row r="71" spans="1:16" x14ac:dyDescent="0.2">
      <c r="A71" s="5" t="s">
        <v>247</v>
      </c>
      <c r="B71" s="6" t="s">
        <v>35</v>
      </c>
      <c r="C71" s="6">
        <v>6</v>
      </c>
      <c r="D71" s="6">
        <v>6</v>
      </c>
      <c r="E71" s="6">
        <v>0</v>
      </c>
      <c r="F71" s="6">
        <v>6</v>
      </c>
      <c r="G71" s="6" t="s">
        <v>248</v>
      </c>
      <c r="H71" s="6" t="s">
        <v>249</v>
      </c>
      <c r="I71" s="6" t="s">
        <v>244</v>
      </c>
      <c r="J71" s="6">
        <v>1</v>
      </c>
      <c r="K71" s="18" t="s">
        <v>249</v>
      </c>
      <c r="L71" s="13" t="s">
        <v>249</v>
      </c>
      <c r="M71"/>
      <c r="O71"/>
      <c r="P71"/>
    </row>
    <row r="72" spans="1:16" x14ac:dyDescent="0.2">
      <c r="A72" s="5" t="s">
        <v>250</v>
      </c>
      <c r="B72" s="6" t="s">
        <v>13</v>
      </c>
      <c r="C72" s="6">
        <v>1</v>
      </c>
      <c r="D72" s="6">
        <v>0</v>
      </c>
      <c r="E72" s="6">
        <v>1</v>
      </c>
      <c r="F72" s="6" t="s">
        <v>10</v>
      </c>
      <c r="G72" s="6" t="s">
        <v>251</v>
      </c>
      <c r="H72" s="6" t="s">
        <v>249</v>
      </c>
      <c r="I72" s="6" t="s">
        <v>244</v>
      </c>
      <c r="J72" s="6">
        <v>1</v>
      </c>
      <c r="K72" s="18" t="s">
        <v>249</v>
      </c>
      <c r="L72" s="13" t="s">
        <v>249</v>
      </c>
      <c r="M72"/>
      <c r="O72"/>
      <c r="P72"/>
    </row>
    <row r="73" spans="1:16" x14ac:dyDescent="0.2">
      <c r="A73" s="5" t="s">
        <v>237</v>
      </c>
      <c r="B73" s="6" t="s">
        <v>57</v>
      </c>
      <c r="C73" s="6">
        <v>1</v>
      </c>
      <c r="D73" s="6">
        <v>0</v>
      </c>
      <c r="E73" s="6">
        <v>1</v>
      </c>
      <c r="F73" s="7" t="s">
        <v>10</v>
      </c>
      <c r="G73" s="6" t="s">
        <v>238</v>
      </c>
      <c r="H73" s="6" t="s">
        <v>239</v>
      </c>
      <c r="I73" s="6" t="s">
        <v>240</v>
      </c>
      <c r="J73" s="6">
        <v>3</v>
      </c>
      <c r="K73" s="18" t="s">
        <v>410</v>
      </c>
      <c r="L73" s="13" t="s">
        <v>10</v>
      </c>
      <c r="M73"/>
      <c r="O73"/>
      <c r="P73"/>
    </row>
    <row r="74" spans="1:16" x14ac:dyDescent="0.2">
      <c r="A74" s="5" t="s">
        <v>37</v>
      </c>
      <c r="B74" s="6" t="s">
        <v>35</v>
      </c>
      <c r="C74" s="6">
        <v>1</v>
      </c>
      <c r="D74" s="6">
        <v>1</v>
      </c>
      <c r="E74" s="6">
        <v>0</v>
      </c>
      <c r="F74" s="6" t="s">
        <v>10</v>
      </c>
      <c r="G74" s="6" t="s">
        <v>38</v>
      </c>
      <c r="H74" s="6" t="s">
        <v>10</v>
      </c>
      <c r="I74" s="6" t="s">
        <v>39</v>
      </c>
      <c r="J74" s="6">
        <v>4</v>
      </c>
      <c r="K74" s="18" t="s">
        <v>410</v>
      </c>
      <c r="L74" s="13" t="s">
        <v>10</v>
      </c>
      <c r="M74"/>
      <c r="O74"/>
      <c r="P74"/>
    </row>
    <row r="75" spans="1:16" x14ac:dyDescent="0.2">
      <c r="A75" s="5" t="s">
        <v>42</v>
      </c>
      <c r="B75" s="6" t="s">
        <v>13</v>
      </c>
      <c r="C75" s="6">
        <v>1</v>
      </c>
      <c r="D75" s="6">
        <v>0</v>
      </c>
      <c r="E75" s="6">
        <v>1</v>
      </c>
      <c r="F75" s="6" t="s">
        <v>10</v>
      </c>
      <c r="G75" s="6" t="s">
        <v>43</v>
      </c>
      <c r="H75" s="6" t="s">
        <v>10</v>
      </c>
      <c r="I75" s="6" t="s">
        <v>44</v>
      </c>
      <c r="J75" s="6">
        <v>3</v>
      </c>
      <c r="K75" s="18" t="s">
        <v>410</v>
      </c>
      <c r="L75" s="13" t="s">
        <v>10</v>
      </c>
      <c r="M75"/>
      <c r="O75"/>
      <c r="P75"/>
    </row>
    <row r="76" spans="1:16" x14ac:dyDescent="0.2">
      <c r="A76" s="5" t="s">
        <v>252</v>
      </c>
      <c r="B76" s="6" t="s">
        <v>13</v>
      </c>
      <c r="C76" s="6">
        <v>5</v>
      </c>
      <c r="D76" s="6">
        <v>2</v>
      </c>
      <c r="E76" s="7">
        <v>3</v>
      </c>
      <c r="F76" s="7">
        <v>5</v>
      </c>
      <c r="G76" s="6" t="s">
        <v>253</v>
      </c>
      <c r="H76" s="6" t="s">
        <v>254</v>
      </c>
      <c r="I76" s="6" t="s">
        <v>44</v>
      </c>
      <c r="J76" s="6">
        <v>1</v>
      </c>
      <c r="K76" s="18" t="s">
        <v>397</v>
      </c>
      <c r="L76" s="13" t="s">
        <v>397</v>
      </c>
      <c r="M76"/>
      <c r="O76"/>
      <c r="P76"/>
    </row>
    <row r="77" spans="1:16" x14ac:dyDescent="0.2">
      <c r="A77" s="5" t="s">
        <v>255</v>
      </c>
      <c r="B77" s="6" t="s">
        <v>13</v>
      </c>
      <c r="C77" s="6">
        <v>4</v>
      </c>
      <c r="D77" s="6">
        <v>4</v>
      </c>
      <c r="E77" s="6">
        <v>0</v>
      </c>
      <c r="F77" s="6">
        <v>4</v>
      </c>
      <c r="G77" s="6" t="s">
        <v>256</v>
      </c>
      <c r="H77" s="6" t="s">
        <v>254</v>
      </c>
      <c r="I77" s="6" t="s">
        <v>44</v>
      </c>
      <c r="J77" s="6">
        <v>1</v>
      </c>
      <c r="K77" s="18" t="s">
        <v>397</v>
      </c>
      <c r="L77" s="13" t="s">
        <v>397</v>
      </c>
      <c r="M77"/>
      <c r="O77"/>
      <c r="P77"/>
    </row>
    <row r="78" spans="1:16" x14ac:dyDescent="0.2">
      <c r="A78" s="5" t="s">
        <v>257</v>
      </c>
      <c r="B78" s="6" t="s">
        <v>13</v>
      </c>
      <c r="C78" s="6">
        <v>2</v>
      </c>
      <c r="D78" s="6">
        <v>0</v>
      </c>
      <c r="E78" s="7">
        <v>2</v>
      </c>
      <c r="F78" s="7">
        <v>2</v>
      </c>
      <c r="G78" s="6" t="s">
        <v>258</v>
      </c>
      <c r="H78" s="6" t="s">
        <v>259</v>
      </c>
      <c r="I78" s="6" t="s">
        <v>44</v>
      </c>
      <c r="J78" s="6">
        <v>1</v>
      </c>
      <c r="K78" s="18" t="s">
        <v>397</v>
      </c>
      <c r="L78" s="13" t="s">
        <v>397</v>
      </c>
      <c r="M78"/>
      <c r="O78"/>
      <c r="P78"/>
    </row>
    <row r="79" spans="1:16" x14ac:dyDescent="0.2">
      <c r="A79" s="5" t="s">
        <v>260</v>
      </c>
      <c r="B79" s="6" t="s">
        <v>35</v>
      </c>
      <c r="C79" s="6">
        <v>1</v>
      </c>
      <c r="D79" s="6">
        <v>1</v>
      </c>
      <c r="E79" s="6">
        <v>0</v>
      </c>
      <c r="F79" s="6" t="s">
        <v>10</v>
      </c>
      <c r="G79" s="6" t="s">
        <v>261</v>
      </c>
      <c r="H79" s="6" t="s">
        <v>262</v>
      </c>
      <c r="I79" s="6" t="s">
        <v>44</v>
      </c>
      <c r="J79" s="6">
        <v>2</v>
      </c>
      <c r="K79" s="18" t="s">
        <v>397</v>
      </c>
      <c r="L79" s="13" t="s">
        <v>397</v>
      </c>
      <c r="M79"/>
      <c r="O79"/>
      <c r="P79"/>
    </row>
    <row r="80" spans="1:16" x14ac:dyDescent="0.2">
      <c r="A80" s="5" t="s">
        <v>263</v>
      </c>
      <c r="B80" s="6" t="s">
        <v>35</v>
      </c>
      <c r="C80" s="6">
        <v>1</v>
      </c>
      <c r="D80" s="6">
        <v>0</v>
      </c>
      <c r="E80" s="6">
        <v>1</v>
      </c>
      <c r="F80" s="6" t="s">
        <v>10</v>
      </c>
      <c r="G80" s="6" t="s">
        <v>264</v>
      </c>
      <c r="H80" s="6" t="s">
        <v>265</v>
      </c>
      <c r="I80" s="6" t="s">
        <v>44</v>
      </c>
      <c r="J80" s="6">
        <v>4</v>
      </c>
      <c r="K80" s="18" t="s">
        <v>398</v>
      </c>
      <c r="L80" s="13" t="s">
        <v>398</v>
      </c>
      <c r="M80"/>
      <c r="O80"/>
      <c r="P80"/>
    </row>
    <row r="81" spans="1:16" x14ac:dyDescent="0.2">
      <c r="A81" s="5" t="s">
        <v>266</v>
      </c>
      <c r="B81" s="6" t="s">
        <v>13</v>
      </c>
      <c r="C81" s="6">
        <v>2</v>
      </c>
      <c r="D81" s="6">
        <v>0</v>
      </c>
      <c r="E81" s="7">
        <v>2</v>
      </c>
      <c r="F81" s="7">
        <v>2</v>
      </c>
      <c r="G81" s="6" t="s">
        <v>267</v>
      </c>
      <c r="H81" s="6" t="s">
        <v>268</v>
      </c>
      <c r="I81" s="6" t="s">
        <v>44</v>
      </c>
      <c r="J81" s="6">
        <v>4</v>
      </c>
      <c r="K81" s="18" t="s">
        <v>398</v>
      </c>
      <c r="L81" s="13" t="s">
        <v>398</v>
      </c>
      <c r="M81"/>
      <c r="O81"/>
      <c r="P81"/>
    </row>
    <row r="82" spans="1:16" x14ac:dyDescent="0.2">
      <c r="A82" s="5" t="s">
        <v>269</v>
      </c>
      <c r="B82" s="6" t="s">
        <v>35</v>
      </c>
      <c r="C82" s="6">
        <v>1</v>
      </c>
      <c r="D82" s="6">
        <v>0</v>
      </c>
      <c r="E82" s="6">
        <v>1</v>
      </c>
      <c r="F82" s="6" t="s">
        <v>10</v>
      </c>
      <c r="G82" s="6" t="s">
        <v>270</v>
      </c>
      <c r="H82" s="6" t="s">
        <v>268</v>
      </c>
      <c r="I82" s="6" t="s">
        <v>44</v>
      </c>
      <c r="J82" s="6">
        <v>4</v>
      </c>
      <c r="K82" s="18" t="s">
        <v>398</v>
      </c>
      <c r="L82" s="13" t="s">
        <v>398</v>
      </c>
      <c r="M82"/>
      <c r="O82"/>
      <c r="P82"/>
    </row>
    <row r="83" spans="1:16" x14ac:dyDescent="0.2">
      <c r="A83" s="5" t="s">
        <v>271</v>
      </c>
      <c r="B83" s="6" t="s">
        <v>13</v>
      </c>
      <c r="C83" s="6">
        <v>3</v>
      </c>
      <c r="D83" s="6">
        <v>2</v>
      </c>
      <c r="E83" s="6">
        <v>1</v>
      </c>
      <c r="F83" s="6">
        <v>3</v>
      </c>
      <c r="G83" s="6" t="s">
        <v>272</v>
      </c>
      <c r="H83" s="6" t="s">
        <v>273</v>
      </c>
      <c r="I83" s="6" t="s">
        <v>274</v>
      </c>
      <c r="J83" s="6">
        <v>2</v>
      </c>
      <c r="K83" s="18" t="s">
        <v>274</v>
      </c>
      <c r="L83" s="13" t="s">
        <v>274</v>
      </c>
      <c r="M83"/>
      <c r="O83"/>
      <c r="P83"/>
    </row>
    <row r="84" spans="1:16" x14ac:dyDescent="0.2">
      <c r="A84" s="5" t="s">
        <v>275</v>
      </c>
      <c r="B84" s="6" t="s">
        <v>276</v>
      </c>
      <c r="C84" s="6">
        <v>7</v>
      </c>
      <c r="D84" s="6">
        <v>0</v>
      </c>
      <c r="E84" s="7">
        <v>7</v>
      </c>
      <c r="F84" s="7">
        <v>7</v>
      </c>
      <c r="G84" s="6" t="s">
        <v>277</v>
      </c>
      <c r="H84" s="6" t="s">
        <v>278</v>
      </c>
      <c r="I84" s="6" t="s">
        <v>274</v>
      </c>
      <c r="J84" s="6">
        <v>2</v>
      </c>
      <c r="K84" s="18" t="s">
        <v>274</v>
      </c>
      <c r="L84" s="13" t="s">
        <v>274</v>
      </c>
      <c r="M84"/>
      <c r="O84"/>
      <c r="P84"/>
    </row>
    <row r="85" spans="1:16" x14ac:dyDescent="0.2">
      <c r="A85" s="5" t="s">
        <v>279</v>
      </c>
      <c r="B85" s="6" t="s">
        <v>13</v>
      </c>
      <c r="C85" s="6">
        <v>1</v>
      </c>
      <c r="D85" s="6">
        <v>0</v>
      </c>
      <c r="E85" s="6">
        <v>1</v>
      </c>
      <c r="F85" s="6" t="s">
        <v>10</v>
      </c>
      <c r="G85" s="6" t="s">
        <v>280</v>
      </c>
      <c r="H85" s="6" t="s">
        <v>281</v>
      </c>
      <c r="I85" s="6" t="s">
        <v>282</v>
      </c>
      <c r="J85" s="6">
        <v>2</v>
      </c>
      <c r="K85" s="18" t="s">
        <v>282</v>
      </c>
      <c r="L85" s="13" t="s">
        <v>282</v>
      </c>
      <c r="M85"/>
      <c r="O85"/>
      <c r="P85"/>
    </row>
    <row r="86" spans="1:16" x14ac:dyDescent="0.2">
      <c r="A86" s="5" t="s">
        <v>283</v>
      </c>
      <c r="B86" s="6" t="s">
        <v>13</v>
      </c>
      <c r="C86" s="6">
        <v>1</v>
      </c>
      <c r="D86" s="6">
        <v>0</v>
      </c>
      <c r="E86" s="6">
        <v>1</v>
      </c>
      <c r="F86" s="6" t="s">
        <v>10</v>
      </c>
      <c r="G86" s="6" t="s">
        <v>284</v>
      </c>
      <c r="H86" s="6" t="s">
        <v>281</v>
      </c>
      <c r="I86" s="6" t="s">
        <v>282</v>
      </c>
      <c r="J86" s="6">
        <v>2</v>
      </c>
      <c r="K86" s="18" t="s">
        <v>282</v>
      </c>
      <c r="L86" s="13" t="s">
        <v>282</v>
      </c>
      <c r="M86"/>
      <c r="O86"/>
      <c r="P86"/>
    </row>
    <row r="87" spans="1:16" x14ac:dyDescent="0.2">
      <c r="A87" s="5" t="s">
        <v>285</v>
      </c>
      <c r="B87" s="6" t="s">
        <v>13</v>
      </c>
      <c r="C87" s="6">
        <v>3</v>
      </c>
      <c r="D87" s="6">
        <v>0</v>
      </c>
      <c r="E87" s="7">
        <v>3</v>
      </c>
      <c r="F87" s="7">
        <v>3</v>
      </c>
      <c r="G87" s="6" t="s">
        <v>286</v>
      </c>
      <c r="H87" s="6" t="s">
        <v>287</v>
      </c>
      <c r="I87" s="6" t="s">
        <v>282</v>
      </c>
      <c r="J87" s="6">
        <v>1</v>
      </c>
      <c r="K87" s="18" t="s">
        <v>282</v>
      </c>
      <c r="L87" s="13" t="s">
        <v>282</v>
      </c>
      <c r="M87"/>
      <c r="O87"/>
      <c r="P87"/>
    </row>
    <row r="88" spans="1:16" x14ac:dyDescent="0.2">
      <c r="A88" s="5" t="s">
        <v>288</v>
      </c>
      <c r="B88" s="6" t="s">
        <v>35</v>
      </c>
      <c r="C88" s="6">
        <v>2</v>
      </c>
      <c r="D88" s="6">
        <v>0</v>
      </c>
      <c r="E88" s="7">
        <v>2</v>
      </c>
      <c r="F88" s="7">
        <v>2</v>
      </c>
      <c r="G88" s="6" t="s">
        <v>289</v>
      </c>
      <c r="H88" s="6" t="s">
        <v>287</v>
      </c>
      <c r="I88" s="6" t="s">
        <v>282</v>
      </c>
      <c r="J88" s="6">
        <v>2</v>
      </c>
      <c r="K88" s="18" t="s">
        <v>282</v>
      </c>
      <c r="L88" s="13" t="s">
        <v>282</v>
      </c>
      <c r="M88"/>
      <c r="O88"/>
      <c r="P88"/>
    </row>
    <row r="89" spans="1:16" x14ac:dyDescent="0.2">
      <c r="A89" s="5" t="s">
        <v>290</v>
      </c>
      <c r="B89" s="6" t="s">
        <v>291</v>
      </c>
      <c r="C89" s="6">
        <v>4</v>
      </c>
      <c r="D89" s="6">
        <v>0</v>
      </c>
      <c r="E89" s="7">
        <v>4</v>
      </c>
      <c r="F89" s="7">
        <v>3</v>
      </c>
      <c r="G89" s="6" t="s">
        <v>292</v>
      </c>
      <c r="H89" s="6" t="s">
        <v>293</v>
      </c>
      <c r="I89" s="6" t="s">
        <v>282</v>
      </c>
      <c r="J89" s="6">
        <v>2</v>
      </c>
      <c r="K89" s="18" t="s">
        <v>282</v>
      </c>
      <c r="L89" s="13" t="s">
        <v>282</v>
      </c>
      <c r="M89"/>
      <c r="O89"/>
      <c r="P89"/>
    </row>
    <row r="90" spans="1:16" x14ac:dyDescent="0.2">
      <c r="A90" s="5" t="s">
        <v>294</v>
      </c>
      <c r="B90" s="6" t="s">
        <v>13</v>
      </c>
      <c r="C90" s="6">
        <v>1</v>
      </c>
      <c r="D90" s="6">
        <v>0</v>
      </c>
      <c r="E90" s="6">
        <v>1</v>
      </c>
      <c r="F90" s="6" t="s">
        <v>10</v>
      </c>
      <c r="G90" s="6" t="s">
        <v>295</v>
      </c>
      <c r="H90" s="6" t="s">
        <v>293</v>
      </c>
      <c r="I90" s="6" t="s">
        <v>282</v>
      </c>
      <c r="J90" s="6">
        <v>2</v>
      </c>
      <c r="K90" s="18" t="s">
        <v>282</v>
      </c>
      <c r="L90" s="13" t="s">
        <v>282</v>
      </c>
      <c r="M90"/>
      <c r="O90"/>
      <c r="P90"/>
    </row>
    <row r="91" spans="1:16" x14ac:dyDescent="0.2">
      <c r="A91" s="5" t="s">
        <v>296</v>
      </c>
      <c r="B91" s="6" t="s">
        <v>13</v>
      </c>
      <c r="C91" s="6">
        <v>1</v>
      </c>
      <c r="D91" s="6">
        <v>1</v>
      </c>
      <c r="E91" s="6">
        <v>0</v>
      </c>
      <c r="F91" s="6" t="s">
        <v>10</v>
      </c>
      <c r="G91" s="6" t="s">
        <v>297</v>
      </c>
      <c r="H91" s="6" t="s">
        <v>298</v>
      </c>
      <c r="I91" s="6" t="s">
        <v>299</v>
      </c>
      <c r="J91" s="6">
        <v>1</v>
      </c>
      <c r="K91" s="18" t="s">
        <v>299</v>
      </c>
      <c r="L91" s="13" t="s">
        <v>299</v>
      </c>
      <c r="M91"/>
      <c r="O91"/>
      <c r="P91"/>
    </row>
    <row r="92" spans="1:16" x14ac:dyDescent="0.2">
      <c r="A92" s="5" t="s">
        <v>300</v>
      </c>
      <c r="B92" s="6" t="s">
        <v>35</v>
      </c>
      <c r="C92" s="6">
        <v>2</v>
      </c>
      <c r="D92" s="6">
        <v>2</v>
      </c>
      <c r="E92" s="6">
        <v>0</v>
      </c>
      <c r="F92" s="6">
        <v>2</v>
      </c>
      <c r="G92" s="6" t="s">
        <v>301</v>
      </c>
      <c r="H92" s="6" t="s">
        <v>298</v>
      </c>
      <c r="I92" s="6" t="s">
        <v>299</v>
      </c>
      <c r="J92" s="6">
        <v>1</v>
      </c>
      <c r="K92" s="18" t="s">
        <v>299</v>
      </c>
      <c r="L92" s="13" t="s">
        <v>299</v>
      </c>
      <c r="M92"/>
      <c r="O92"/>
      <c r="P92"/>
    </row>
    <row r="93" spans="1:16" x14ac:dyDescent="0.2">
      <c r="A93" s="5" t="s">
        <v>302</v>
      </c>
      <c r="B93" s="6" t="s">
        <v>13</v>
      </c>
      <c r="C93" s="6">
        <v>1</v>
      </c>
      <c r="D93" s="6">
        <v>1</v>
      </c>
      <c r="E93" s="6">
        <v>0</v>
      </c>
      <c r="F93" s="6" t="s">
        <v>10</v>
      </c>
      <c r="G93" s="6" t="s">
        <v>303</v>
      </c>
      <c r="H93" s="6" t="s">
        <v>304</v>
      </c>
      <c r="I93" s="6" t="s">
        <v>299</v>
      </c>
      <c r="J93" s="6">
        <v>3</v>
      </c>
      <c r="K93" s="18" t="s">
        <v>299</v>
      </c>
      <c r="L93" s="13" t="s">
        <v>299</v>
      </c>
      <c r="M93"/>
      <c r="O93"/>
      <c r="P93"/>
    </row>
    <row r="94" spans="1:16" x14ac:dyDescent="0.2">
      <c r="A94" s="5" t="s">
        <v>305</v>
      </c>
      <c r="B94" s="6" t="s">
        <v>13</v>
      </c>
      <c r="C94" s="6">
        <v>1</v>
      </c>
      <c r="D94" s="6">
        <v>0</v>
      </c>
      <c r="E94" s="6">
        <v>1</v>
      </c>
      <c r="F94" s="6" t="s">
        <v>10</v>
      </c>
      <c r="G94" s="6" t="s">
        <v>306</v>
      </c>
      <c r="H94" s="6" t="s">
        <v>307</v>
      </c>
      <c r="I94" s="6" t="s">
        <v>308</v>
      </c>
      <c r="J94" s="6">
        <v>3</v>
      </c>
      <c r="K94" s="18" t="s">
        <v>410</v>
      </c>
      <c r="L94" s="13" t="s">
        <v>10</v>
      </c>
      <c r="M94"/>
      <c r="O94"/>
      <c r="P94"/>
    </row>
    <row r="95" spans="1:16" x14ac:dyDescent="0.2">
      <c r="A95" s="5" t="s">
        <v>56</v>
      </c>
      <c r="B95" s="6" t="s">
        <v>57</v>
      </c>
      <c r="C95" s="6">
        <v>3</v>
      </c>
      <c r="D95" s="6">
        <v>0</v>
      </c>
      <c r="E95" s="7">
        <v>3</v>
      </c>
      <c r="F95" s="7">
        <v>3</v>
      </c>
      <c r="G95" s="6" t="s">
        <v>58</v>
      </c>
      <c r="H95" s="6" t="s">
        <v>10</v>
      </c>
      <c r="I95" s="6" t="s">
        <v>59</v>
      </c>
      <c r="J95" s="6">
        <v>1</v>
      </c>
      <c r="K95" s="18" t="s">
        <v>406</v>
      </c>
      <c r="L95" s="13" t="s">
        <v>10</v>
      </c>
      <c r="M95"/>
      <c r="O95"/>
      <c r="P95"/>
    </row>
    <row r="96" spans="1:16" x14ac:dyDescent="0.2">
      <c r="A96" s="5" t="s">
        <v>353</v>
      </c>
      <c r="B96" s="6" t="s">
        <v>35</v>
      </c>
      <c r="C96" s="6">
        <v>1</v>
      </c>
      <c r="D96" s="6">
        <v>0</v>
      </c>
      <c r="E96" s="6">
        <v>1</v>
      </c>
      <c r="F96" s="6" t="s">
        <v>10</v>
      </c>
      <c r="G96" s="6" t="s">
        <v>354</v>
      </c>
      <c r="H96" s="6" t="s">
        <v>355</v>
      </c>
      <c r="I96" s="6" t="s">
        <v>356</v>
      </c>
      <c r="J96" s="6">
        <v>4</v>
      </c>
      <c r="K96" s="18" t="s">
        <v>356</v>
      </c>
      <c r="L96" s="13" t="s">
        <v>356</v>
      </c>
      <c r="M96"/>
      <c r="O96"/>
      <c r="P96"/>
    </row>
    <row r="97" spans="1:16" x14ac:dyDescent="0.2">
      <c r="A97" s="5" t="s">
        <v>357</v>
      </c>
      <c r="B97" s="6" t="s">
        <v>35</v>
      </c>
      <c r="C97" s="6">
        <v>1</v>
      </c>
      <c r="D97" s="6">
        <v>1</v>
      </c>
      <c r="E97" s="6">
        <v>0</v>
      </c>
      <c r="F97" s="6" t="s">
        <v>10</v>
      </c>
      <c r="G97" s="6" t="s">
        <v>358</v>
      </c>
      <c r="H97" s="6" t="s">
        <v>359</v>
      </c>
      <c r="I97" s="6" t="s">
        <v>356</v>
      </c>
      <c r="J97" s="6">
        <v>4</v>
      </c>
      <c r="K97" s="18" t="s">
        <v>356</v>
      </c>
      <c r="L97" s="13" t="s">
        <v>356</v>
      </c>
      <c r="M97"/>
      <c r="O97"/>
      <c r="P97"/>
    </row>
    <row r="98" spans="1:16" x14ac:dyDescent="0.2">
      <c r="A98" s="5" t="s">
        <v>360</v>
      </c>
      <c r="B98" s="6" t="s">
        <v>35</v>
      </c>
      <c r="C98" s="6">
        <v>4</v>
      </c>
      <c r="D98" s="6">
        <v>4</v>
      </c>
      <c r="E98" s="6">
        <v>0</v>
      </c>
      <c r="F98" s="6">
        <v>4</v>
      </c>
      <c r="G98" s="6" t="s">
        <v>361</v>
      </c>
      <c r="H98" s="6" t="s">
        <v>362</v>
      </c>
      <c r="I98" s="6" t="s">
        <v>356</v>
      </c>
      <c r="J98" s="6">
        <v>3</v>
      </c>
      <c r="K98" s="18" t="s">
        <v>356</v>
      </c>
      <c r="L98" s="13" t="s">
        <v>356</v>
      </c>
      <c r="M98"/>
      <c r="O98"/>
      <c r="P98"/>
    </row>
    <row r="99" spans="1:16" x14ac:dyDescent="0.2">
      <c r="A99" s="5" t="s">
        <v>363</v>
      </c>
      <c r="B99" s="6" t="s">
        <v>13</v>
      </c>
      <c r="C99" s="6">
        <v>1</v>
      </c>
      <c r="D99" s="6">
        <v>0</v>
      </c>
      <c r="E99" s="6">
        <v>1</v>
      </c>
      <c r="F99" s="6" t="s">
        <v>10</v>
      </c>
      <c r="G99" s="6" t="s">
        <v>364</v>
      </c>
      <c r="H99" s="6" t="s">
        <v>362</v>
      </c>
      <c r="I99" s="6" t="s">
        <v>356</v>
      </c>
      <c r="J99" s="6">
        <v>1</v>
      </c>
      <c r="K99" s="18" t="s">
        <v>356</v>
      </c>
      <c r="L99" s="13" t="s">
        <v>356</v>
      </c>
      <c r="M99"/>
      <c r="O99"/>
      <c r="P99"/>
    </row>
    <row r="100" spans="1:16" x14ac:dyDescent="0.2">
      <c r="A100" s="5" t="s">
        <v>349</v>
      </c>
      <c r="B100" s="6" t="s">
        <v>57</v>
      </c>
      <c r="C100" s="6">
        <v>1</v>
      </c>
      <c r="D100" s="6">
        <v>0</v>
      </c>
      <c r="E100" s="6">
        <v>1</v>
      </c>
      <c r="F100" s="6" t="s">
        <v>10</v>
      </c>
      <c r="G100" s="6" t="s">
        <v>350</v>
      </c>
      <c r="H100" s="6" t="s">
        <v>351</v>
      </c>
      <c r="I100" s="6" t="s">
        <v>352</v>
      </c>
      <c r="J100" s="6">
        <v>4</v>
      </c>
      <c r="K100" s="18" t="s">
        <v>406</v>
      </c>
      <c r="L100" s="13" t="s">
        <v>10</v>
      </c>
      <c r="M100"/>
      <c r="O100"/>
      <c r="P100"/>
    </row>
    <row r="101" spans="1:16" x14ac:dyDescent="0.2">
      <c r="A101" s="5" t="s">
        <v>109</v>
      </c>
      <c r="B101" s="6" t="s">
        <v>57</v>
      </c>
      <c r="C101" s="6">
        <v>1</v>
      </c>
      <c r="D101" s="6">
        <v>0</v>
      </c>
      <c r="E101" s="6">
        <v>1</v>
      </c>
      <c r="F101" s="6" t="s">
        <v>10</v>
      </c>
      <c r="G101" s="6" t="s">
        <v>110</v>
      </c>
      <c r="H101" s="6" t="s">
        <v>111</v>
      </c>
      <c r="I101" s="6" t="s">
        <v>11</v>
      </c>
      <c r="J101" s="6">
        <v>5</v>
      </c>
      <c r="K101" s="18" t="s">
        <v>399</v>
      </c>
      <c r="L101" s="13" t="s">
        <v>399</v>
      </c>
      <c r="M101"/>
      <c r="O101"/>
      <c r="P101"/>
    </row>
    <row r="102" spans="1:16" x14ac:dyDescent="0.2">
      <c r="A102" s="5" t="s">
        <v>112</v>
      </c>
      <c r="B102" s="6" t="s">
        <v>57</v>
      </c>
      <c r="C102" s="6">
        <v>1</v>
      </c>
      <c r="D102" s="6">
        <v>0</v>
      </c>
      <c r="E102" s="6">
        <v>1</v>
      </c>
      <c r="F102" s="6" t="s">
        <v>10</v>
      </c>
      <c r="G102" s="6" t="s">
        <v>113</v>
      </c>
      <c r="H102" s="6" t="s">
        <v>111</v>
      </c>
      <c r="I102" s="6" t="s">
        <v>11</v>
      </c>
      <c r="J102" s="6">
        <v>2</v>
      </c>
      <c r="K102" s="18" t="s">
        <v>399</v>
      </c>
      <c r="L102" s="13" t="s">
        <v>399</v>
      </c>
      <c r="M102"/>
      <c r="O102"/>
      <c r="P102"/>
    </row>
    <row r="103" spans="1:16" x14ac:dyDescent="0.2">
      <c r="A103" s="5" t="s">
        <v>114</v>
      </c>
      <c r="B103" s="6" t="s">
        <v>115</v>
      </c>
      <c r="C103" s="6">
        <v>3</v>
      </c>
      <c r="D103" s="6">
        <v>0</v>
      </c>
      <c r="E103" s="7">
        <v>3</v>
      </c>
      <c r="F103" s="7">
        <v>2</v>
      </c>
      <c r="G103" s="6" t="s">
        <v>116</v>
      </c>
      <c r="H103" s="6" t="s">
        <v>111</v>
      </c>
      <c r="I103" s="6" t="s">
        <v>11</v>
      </c>
      <c r="J103" s="6">
        <v>2</v>
      </c>
      <c r="K103" s="18" t="s">
        <v>399</v>
      </c>
      <c r="L103" s="13" t="s">
        <v>399</v>
      </c>
      <c r="M103"/>
      <c r="O103"/>
      <c r="P103"/>
    </row>
    <row r="104" spans="1:16" x14ac:dyDescent="0.2">
      <c r="A104" s="5" t="s">
        <v>117</v>
      </c>
      <c r="B104" s="6" t="s">
        <v>57</v>
      </c>
      <c r="C104" s="6">
        <v>1</v>
      </c>
      <c r="D104" s="6">
        <v>0</v>
      </c>
      <c r="E104" s="6">
        <v>1</v>
      </c>
      <c r="F104" s="6" t="s">
        <v>10</v>
      </c>
      <c r="G104" s="6" t="s">
        <v>118</v>
      </c>
      <c r="H104" s="6" t="s">
        <v>111</v>
      </c>
      <c r="I104" s="6" t="s">
        <v>11</v>
      </c>
      <c r="J104" s="6">
        <v>2</v>
      </c>
      <c r="K104" s="18" t="s">
        <v>399</v>
      </c>
      <c r="L104" s="13" t="s">
        <v>399</v>
      </c>
      <c r="M104"/>
      <c r="O104"/>
      <c r="P104"/>
    </row>
    <row r="105" spans="1:16" x14ac:dyDescent="0.2">
      <c r="A105" s="5" t="s">
        <v>119</v>
      </c>
      <c r="B105" s="6" t="s">
        <v>57</v>
      </c>
      <c r="C105" s="6">
        <v>1</v>
      </c>
      <c r="D105" s="6">
        <v>0</v>
      </c>
      <c r="E105" s="6">
        <v>1</v>
      </c>
      <c r="F105" s="6" t="s">
        <v>10</v>
      </c>
      <c r="G105" s="6" t="s">
        <v>120</v>
      </c>
      <c r="H105" s="6" t="s">
        <v>111</v>
      </c>
      <c r="I105" s="6" t="s">
        <v>11</v>
      </c>
      <c r="J105" s="6">
        <v>2</v>
      </c>
      <c r="K105" s="18" t="s">
        <v>399</v>
      </c>
      <c r="L105" s="13" t="s">
        <v>399</v>
      </c>
      <c r="M105"/>
      <c r="O105"/>
      <c r="P105"/>
    </row>
    <row r="106" spans="1:16" x14ac:dyDescent="0.2">
      <c r="A106" s="5" t="s">
        <v>121</v>
      </c>
      <c r="B106" s="6" t="s">
        <v>57</v>
      </c>
      <c r="C106" s="6">
        <v>1</v>
      </c>
      <c r="D106" s="6">
        <v>0</v>
      </c>
      <c r="E106" s="6">
        <v>1</v>
      </c>
      <c r="F106" s="6" t="s">
        <v>10</v>
      </c>
      <c r="G106" s="6" t="s">
        <v>122</v>
      </c>
      <c r="H106" s="6" t="s">
        <v>111</v>
      </c>
      <c r="I106" s="6" t="s">
        <v>11</v>
      </c>
      <c r="J106" s="6">
        <v>5</v>
      </c>
      <c r="K106" s="18" t="s">
        <v>399</v>
      </c>
      <c r="L106" s="13" t="s">
        <v>399</v>
      </c>
      <c r="M106"/>
      <c r="O106"/>
      <c r="P106"/>
    </row>
    <row r="107" spans="1:16" x14ac:dyDescent="0.2">
      <c r="A107" s="5" t="s">
        <v>123</v>
      </c>
      <c r="B107" s="6" t="s">
        <v>57</v>
      </c>
      <c r="C107" s="6">
        <v>3</v>
      </c>
      <c r="D107" s="6">
        <v>0</v>
      </c>
      <c r="E107" s="7">
        <v>3</v>
      </c>
      <c r="F107" s="7">
        <v>3</v>
      </c>
      <c r="G107" s="6" t="s">
        <v>124</v>
      </c>
      <c r="H107" s="6" t="s">
        <v>111</v>
      </c>
      <c r="I107" s="6" t="s">
        <v>11</v>
      </c>
      <c r="J107" s="6">
        <v>4</v>
      </c>
      <c r="K107" s="18" t="s">
        <v>399</v>
      </c>
      <c r="L107" s="13" t="s">
        <v>399</v>
      </c>
      <c r="M107"/>
      <c r="O107"/>
      <c r="P107"/>
    </row>
    <row r="108" spans="1:16" x14ac:dyDescent="0.2">
      <c r="A108" s="5" t="s">
        <v>125</v>
      </c>
      <c r="B108" s="6" t="s">
        <v>57</v>
      </c>
      <c r="C108" s="6">
        <v>1</v>
      </c>
      <c r="D108" s="6">
        <v>0</v>
      </c>
      <c r="E108" s="6">
        <v>1</v>
      </c>
      <c r="F108" s="6" t="s">
        <v>10</v>
      </c>
      <c r="G108" s="6" t="s">
        <v>126</v>
      </c>
      <c r="H108" s="6" t="s">
        <v>111</v>
      </c>
      <c r="I108" s="6" t="s">
        <v>11</v>
      </c>
      <c r="J108" s="6">
        <v>2</v>
      </c>
      <c r="K108" s="18" t="s">
        <v>399</v>
      </c>
      <c r="L108" s="13" t="s">
        <v>399</v>
      </c>
      <c r="M108"/>
      <c r="O108"/>
      <c r="P108"/>
    </row>
    <row r="109" spans="1:16" x14ac:dyDescent="0.2">
      <c r="A109" s="5" t="s">
        <v>127</v>
      </c>
      <c r="B109" s="6" t="s">
        <v>57</v>
      </c>
      <c r="C109" s="6">
        <v>1</v>
      </c>
      <c r="D109" s="6">
        <v>0</v>
      </c>
      <c r="E109" s="6">
        <v>1</v>
      </c>
      <c r="F109" s="6" t="s">
        <v>10</v>
      </c>
      <c r="G109" s="6" t="s">
        <v>128</v>
      </c>
      <c r="H109" s="6" t="s">
        <v>111</v>
      </c>
      <c r="I109" s="6" t="s">
        <v>11</v>
      </c>
      <c r="J109" s="6">
        <v>4</v>
      </c>
      <c r="K109" s="18" t="s">
        <v>399</v>
      </c>
      <c r="L109" s="13" t="s">
        <v>399</v>
      </c>
      <c r="M109"/>
      <c r="O109"/>
      <c r="P109"/>
    </row>
    <row r="110" spans="1:16" x14ac:dyDescent="0.2">
      <c r="A110" s="5" t="s">
        <v>129</v>
      </c>
      <c r="B110" s="6" t="s">
        <v>57</v>
      </c>
      <c r="C110" s="6">
        <v>1</v>
      </c>
      <c r="D110" s="6">
        <v>0</v>
      </c>
      <c r="E110" s="6">
        <v>1</v>
      </c>
      <c r="F110" s="6" t="s">
        <v>10</v>
      </c>
      <c r="G110" s="6" t="s">
        <v>130</v>
      </c>
      <c r="H110" s="6" t="s">
        <v>111</v>
      </c>
      <c r="I110" s="6" t="s">
        <v>11</v>
      </c>
      <c r="J110" s="6">
        <v>2</v>
      </c>
      <c r="K110" s="18" t="s">
        <v>399</v>
      </c>
      <c r="L110" s="13" t="s">
        <v>399</v>
      </c>
      <c r="M110"/>
      <c r="O110"/>
      <c r="P110"/>
    </row>
    <row r="111" spans="1:16" x14ac:dyDescent="0.2">
      <c r="A111" s="5" t="s">
        <v>131</v>
      </c>
      <c r="B111" s="6" t="s">
        <v>57</v>
      </c>
      <c r="C111" s="6">
        <v>2</v>
      </c>
      <c r="D111" s="6">
        <v>0</v>
      </c>
      <c r="E111" s="7">
        <v>2</v>
      </c>
      <c r="F111" s="7">
        <v>2</v>
      </c>
      <c r="G111" s="6" t="s">
        <v>132</v>
      </c>
      <c r="H111" s="6" t="s">
        <v>111</v>
      </c>
      <c r="I111" s="6" t="s">
        <v>11</v>
      </c>
      <c r="J111" s="6">
        <v>4</v>
      </c>
      <c r="K111" s="18" t="s">
        <v>399</v>
      </c>
      <c r="L111" s="13" t="s">
        <v>399</v>
      </c>
      <c r="M111"/>
      <c r="O111"/>
      <c r="P111"/>
    </row>
    <row r="112" spans="1:16" x14ac:dyDescent="0.2">
      <c r="A112" s="5" t="s">
        <v>133</v>
      </c>
      <c r="B112" s="6" t="s">
        <v>57</v>
      </c>
      <c r="C112" s="6">
        <v>2</v>
      </c>
      <c r="D112" s="6">
        <v>0</v>
      </c>
      <c r="E112" s="7">
        <v>2</v>
      </c>
      <c r="F112" s="7">
        <v>2</v>
      </c>
      <c r="G112" s="6" t="s">
        <v>134</v>
      </c>
      <c r="H112" s="6" t="s">
        <v>111</v>
      </c>
      <c r="I112" s="6" t="s">
        <v>11</v>
      </c>
      <c r="J112" s="6">
        <v>4</v>
      </c>
      <c r="K112" s="18" t="s">
        <v>399</v>
      </c>
      <c r="L112" s="13" t="s">
        <v>399</v>
      </c>
      <c r="M112"/>
      <c r="O112"/>
      <c r="P112"/>
    </row>
    <row r="113" spans="1:16" x14ac:dyDescent="0.2">
      <c r="A113" s="5" t="s">
        <v>135</v>
      </c>
      <c r="B113" s="6" t="s">
        <v>57</v>
      </c>
      <c r="C113" s="6">
        <v>1</v>
      </c>
      <c r="D113" s="6">
        <v>0</v>
      </c>
      <c r="E113" s="6">
        <v>1</v>
      </c>
      <c r="F113" s="6" t="s">
        <v>10</v>
      </c>
      <c r="G113" s="6" t="s">
        <v>136</v>
      </c>
      <c r="H113" s="6" t="s">
        <v>111</v>
      </c>
      <c r="I113" s="6" t="s">
        <v>11</v>
      </c>
      <c r="J113" s="6">
        <v>4</v>
      </c>
      <c r="K113" s="18" t="s">
        <v>399</v>
      </c>
      <c r="L113" s="13" t="s">
        <v>399</v>
      </c>
      <c r="M113"/>
      <c r="O113"/>
      <c r="P113"/>
    </row>
    <row r="114" spans="1:16" x14ac:dyDescent="0.2">
      <c r="A114" s="5" t="s">
        <v>137</v>
      </c>
      <c r="B114" s="6" t="s">
        <v>57</v>
      </c>
      <c r="C114" s="6">
        <v>1</v>
      </c>
      <c r="D114" s="6">
        <v>0</v>
      </c>
      <c r="E114" s="6">
        <v>1</v>
      </c>
      <c r="F114" s="6" t="s">
        <v>10</v>
      </c>
      <c r="G114" s="6" t="s">
        <v>138</v>
      </c>
      <c r="H114" s="6" t="s">
        <v>111</v>
      </c>
      <c r="I114" s="6" t="s">
        <v>11</v>
      </c>
      <c r="J114" s="6">
        <v>4</v>
      </c>
      <c r="K114" s="18" t="s">
        <v>399</v>
      </c>
      <c r="L114" s="13" t="s">
        <v>399</v>
      </c>
      <c r="M114"/>
      <c r="O114"/>
      <c r="P114"/>
    </row>
    <row r="115" spans="1:16" x14ac:dyDescent="0.2">
      <c r="A115" s="5" t="s">
        <v>139</v>
      </c>
      <c r="B115" s="6" t="s">
        <v>57</v>
      </c>
      <c r="C115" s="6">
        <v>1</v>
      </c>
      <c r="D115" s="6">
        <v>0</v>
      </c>
      <c r="E115" s="6">
        <v>1</v>
      </c>
      <c r="F115" s="6" t="s">
        <v>10</v>
      </c>
      <c r="G115" s="6" t="s">
        <v>140</v>
      </c>
      <c r="H115" s="6" t="s">
        <v>111</v>
      </c>
      <c r="I115" s="6" t="s">
        <v>11</v>
      </c>
      <c r="J115" s="6">
        <v>3</v>
      </c>
      <c r="K115" s="18" t="s">
        <v>399</v>
      </c>
      <c r="L115" s="13" t="s">
        <v>399</v>
      </c>
      <c r="M115"/>
      <c r="O115"/>
      <c r="P115"/>
    </row>
    <row r="116" spans="1:16" x14ac:dyDescent="0.2">
      <c r="A116" s="5" t="s">
        <v>141</v>
      </c>
      <c r="B116" s="6" t="s">
        <v>57</v>
      </c>
      <c r="C116" s="6">
        <v>1</v>
      </c>
      <c r="D116" s="6">
        <v>0</v>
      </c>
      <c r="E116" s="6">
        <v>1</v>
      </c>
      <c r="F116" s="6" t="s">
        <v>10</v>
      </c>
      <c r="G116" s="6" t="s">
        <v>142</v>
      </c>
      <c r="H116" s="6" t="s">
        <v>111</v>
      </c>
      <c r="I116" s="6" t="s">
        <v>11</v>
      </c>
      <c r="J116" s="6">
        <v>4</v>
      </c>
      <c r="K116" s="18" t="s">
        <v>399</v>
      </c>
      <c r="L116" s="13" t="s">
        <v>399</v>
      </c>
      <c r="M116"/>
      <c r="O116"/>
      <c r="P116"/>
    </row>
    <row r="117" spans="1:16" x14ac:dyDescent="0.2">
      <c r="A117" s="5" t="s">
        <v>143</v>
      </c>
      <c r="B117" s="6" t="s">
        <v>57</v>
      </c>
      <c r="C117" s="6">
        <v>1</v>
      </c>
      <c r="D117" s="6">
        <v>0</v>
      </c>
      <c r="E117" s="6">
        <v>1</v>
      </c>
      <c r="F117" s="6" t="s">
        <v>10</v>
      </c>
      <c r="G117" s="6" t="s">
        <v>144</v>
      </c>
      <c r="H117" s="6" t="s">
        <v>111</v>
      </c>
      <c r="I117" s="6" t="s">
        <v>11</v>
      </c>
      <c r="J117" s="6">
        <v>4</v>
      </c>
      <c r="K117" s="18" t="s">
        <v>399</v>
      </c>
      <c r="L117" s="13" t="s">
        <v>399</v>
      </c>
      <c r="M117"/>
      <c r="O117"/>
      <c r="P117"/>
    </row>
    <row r="118" spans="1:16" x14ac:dyDescent="0.2">
      <c r="A118" s="5" t="s">
        <v>145</v>
      </c>
      <c r="B118" s="6" t="s">
        <v>57</v>
      </c>
      <c r="C118" s="6">
        <v>2</v>
      </c>
      <c r="D118" s="6">
        <v>0</v>
      </c>
      <c r="E118" s="7">
        <v>2</v>
      </c>
      <c r="F118" s="7">
        <v>2</v>
      </c>
      <c r="G118" s="6" t="s">
        <v>146</v>
      </c>
      <c r="H118" s="6" t="s">
        <v>111</v>
      </c>
      <c r="I118" s="6" t="s">
        <v>11</v>
      </c>
      <c r="J118" s="6">
        <v>1</v>
      </c>
      <c r="K118" s="18" t="s">
        <v>399</v>
      </c>
      <c r="L118" s="13" t="s">
        <v>399</v>
      </c>
      <c r="M118"/>
      <c r="O118"/>
      <c r="P118"/>
    </row>
    <row r="119" spans="1:16" x14ac:dyDescent="0.2">
      <c r="A119" s="5" t="s">
        <v>147</v>
      </c>
      <c r="B119" s="6" t="s">
        <v>57</v>
      </c>
      <c r="C119" s="6">
        <v>1</v>
      </c>
      <c r="D119" s="6">
        <v>0</v>
      </c>
      <c r="E119" s="6">
        <v>1</v>
      </c>
      <c r="F119" s="6" t="s">
        <v>10</v>
      </c>
      <c r="G119" s="6" t="s">
        <v>148</v>
      </c>
      <c r="H119" s="6" t="s">
        <v>111</v>
      </c>
      <c r="I119" s="6" t="s">
        <v>11</v>
      </c>
      <c r="J119" s="6">
        <v>4</v>
      </c>
      <c r="K119" s="18" t="s">
        <v>399</v>
      </c>
      <c r="L119" s="13" t="s">
        <v>399</v>
      </c>
      <c r="M119"/>
      <c r="O119"/>
      <c r="P119"/>
    </row>
    <row r="120" spans="1:16" x14ac:dyDescent="0.2">
      <c r="A120" s="5" t="s">
        <v>149</v>
      </c>
      <c r="B120" s="6" t="s">
        <v>57</v>
      </c>
      <c r="C120" s="6">
        <v>1</v>
      </c>
      <c r="D120" s="6">
        <v>0</v>
      </c>
      <c r="E120" s="6">
        <v>1</v>
      </c>
      <c r="F120" s="6" t="s">
        <v>10</v>
      </c>
      <c r="G120" s="6" t="s">
        <v>150</v>
      </c>
      <c r="H120" s="6" t="s">
        <v>111</v>
      </c>
      <c r="I120" s="6" t="s">
        <v>11</v>
      </c>
      <c r="J120" s="6">
        <v>4</v>
      </c>
      <c r="K120" s="18" t="s">
        <v>399</v>
      </c>
      <c r="L120" s="13" t="s">
        <v>399</v>
      </c>
      <c r="M120"/>
      <c r="O120"/>
      <c r="P120"/>
    </row>
    <row r="121" spans="1:16" x14ac:dyDescent="0.2">
      <c r="A121" s="5" t="s">
        <v>151</v>
      </c>
      <c r="B121" s="6" t="s">
        <v>57</v>
      </c>
      <c r="C121" s="6">
        <v>1</v>
      </c>
      <c r="D121" s="6">
        <v>0</v>
      </c>
      <c r="E121" s="6">
        <v>1</v>
      </c>
      <c r="F121" s="6" t="s">
        <v>10</v>
      </c>
      <c r="G121" s="6" t="s">
        <v>152</v>
      </c>
      <c r="H121" s="6" t="s">
        <v>111</v>
      </c>
      <c r="I121" s="6" t="s">
        <v>11</v>
      </c>
      <c r="J121" s="6">
        <v>4</v>
      </c>
      <c r="K121" s="18" t="s">
        <v>399</v>
      </c>
      <c r="L121" s="13" t="s">
        <v>399</v>
      </c>
      <c r="M121"/>
      <c r="O121"/>
      <c r="P121"/>
    </row>
    <row r="122" spans="1:16" x14ac:dyDescent="0.2">
      <c r="A122" s="5" t="s">
        <v>153</v>
      </c>
      <c r="B122" s="6" t="s">
        <v>57</v>
      </c>
      <c r="C122" s="6">
        <v>2</v>
      </c>
      <c r="D122" s="6">
        <v>0</v>
      </c>
      <c r="E122" s="7">
        <v>2</v>
      </c>
      <c r="F122" s="7">
        <v>2</v>
      </c>
      <c r="G122" s="6" t="s">
        <v>154</v>
      </c>
      <c r="H122" s="6" t="s">
        <v>111</v>
      </c>
      <c r="I122" s="6" t="s">
        <v>11</v>
      </c>
      <c r="J122" s="6">
        <v>4</v>
      </c>
      <c r="K122" s="18" t="s">
        <v>399</v>
      </c>
      <c r="L122" s="13" t="s">
        <v>399</v>
      </c>
      <c r="M122"/>
      <c r="O122"/>
      <c r="P122"/>
    </row>
    <row r="123" spans="1:16" x14ac:dyDescent="0.2">
      <c r="A123" s="5" t="s">
        <v>155</v>
      </c>
      <c r="B123" s="6" t="s">
        <v>57</v>
      </c>
      <c r="C123" s="6">
        <v>1</v>
      </c>
      <c r="D123" s="6">
        <v>0</v>
      </c>
      <c r="E123" s="6">
        <v>1</v>
      </c>
      <c r="F123" s="6" t="s">
        <v>10</v>
      </c>
      <c r="G123" s="6" t="s">
        <v>156</v>
      </c>
      <c r="H123" s="6" t="s">
        <v>111</v>
      </c>
      <c r="I123" s="6" t="s">
        <v>11</v>
      </c>
      <c r="J123" s="6">
        <v>4</v>
      </c>
      <c r="K123" s="18" t="s">
        <v>399</v>
      </c>
      <c r="L123" s="13" t="s">
        <v>399</v>
      </c>
      <c r="M123"/>
      <c r="O123"/>
      <c r="P123"/>
    </row>
    <row r="124" spans="1:16" x14ac:dyDescent="0.2">
      <c r="A124" s="5" t="s">
        <v>157</v>
      </c>
      <c r="B124" s="6" t="s">
        <v>57</v>
      </c>
      <c r="C124" s="6">
        <v>2</v>
      </c>
      <c r="D124" s="6">
        <v>0</v>
      </c>
      <c r="E124" s="7">
        <v>2</v>
      </c>
      <c r="F124" s="7">
        <v>2</v>
      </c>
      <c r="G124" s="6" t="s">
        <v>158</v>
      </c>
      <c r="H124" s="6" t="s">
        <v>111</v>
      </c>
      <c r="I124" s="6" t="s">
        <v>11</v>
      </c>
      <c r="J124" s="6">
        <v>4</v>
      </c>
      <c r="K124" s="18" t="s">
        <v>399</v>
      </c>
      <c r="L124" s="13" t="s">
        <v>399</v>
      </c>
      <c r="M124"/>
      <c r="O124"/>
      <c r="P124"/>
    </row>
    <row r="125" spans="1:16" x14ac:dyDescent="0.2">
      <c r="A125" s="5" t="s">
        <v>159</v>
      </c>
      <c r="B125" s="6" t="s">
        <v>57</v>
      </c>
      <c r="C125" s="6">
        <v>1</v>
      </c>
      <c r="D125" s="6">
        <v>0</v>
      </c>
      <c r="E125" s="6">
        <v>1</v>
      </c>
      <c r="F125" s="6" t="s">
        <v>10</v>
      </c>
      <c r="G125" s="6" t="s">
        <v>160</v>
      </c>
      <c r="H125" s="6" t="s">
        <v>111</v>
      </c>
      <c r="I125" s="6" t="s">
        <v>11</v>
      </c>
      <c r="J125" s="6">
        <v>2</v>
      </c>
      <c r="K125" s="18" t="s">
        <v>399</v>
      </c>
      <c r="L125" s="13" t="s">
        <v>399</v>
      </c>
      <c r="M125"/>
      <c r="O125"/>
      <c r="P125"/>
    </row>
    <row r="126" spans="1:16" x14ac:dyDescent="0.2">
      <c r="A126" s="5" t="s">
        <v>161</v>
      </c>
      <c r="B126" s="6" t="s">
        <v>57</v>
      </c>
      <c r="C126" s="6">
        <v>1</v>
      </c>
      <c r="D126" s="6">
        <v>0</v>
      </c>
      <c r="E126" s="6">
        <v>1</v>
      </c>
      <c r="F126" s="6" t="s">
        <v>10</v>
      </c>
      <c r="G126" s="6" t="s">
        <v>162</v>
      </c>
      <c r="H126" s="6" t="s">
        <v>111</v>
      </c>
      <c r="I126" s="6" t="s">
        <v>11</v>
      </c>
      <c r="J126" s="6">
        <v>2</v>
      </c>
      <c r="K126" s="18" t="s">
        <v>399</v>
      </c>
      <c r="L126" s="13" t="s">
        <v>399</v>
      </c>
      <c r="M126"/>
      <c r="O126"/>
      <c r="P126"/>
    </row>
    <row r="127" spans="1:16" x14ac:dyDescent="0.2">
      <c r="A127" s="5" t="s">
        <v>163</v>
      </c>
      <c r="B127" s="6" t="s">
        <v>57</v>
      </c>
      <c r="C127" s="6">
        <v>1</v>
      </c>
      <c r="D127" s="6">
        <v>0</v>
      </c>
      <c r="E127" s="6">
        <v>1</v>
      </c>
      <c r="F127" s="6" t="s">
        <v>10</v>
      </c>
      <c r="G127" s="6" t="s">
        <v>164</v>
      </c>
      <c r="H127" s="6" t="s">
        <v>111</v>
      </c>
      <c r="I127" s="6" t="s">
        <v>11</v>
      </c>
      <c r="J127" s="6">
        <v>4</v>
      </c>
      <c r="K127" s="18" t="s">
        <v>399</v>
      </c>
      <c r="L127" s="13" t="s">
        <v>399</v>
      </c>
      <c r="M127"/>
      <c r="O127"/>
      <c r="P127"/>
    </row>
    <row r="128" spans="1:16" x14ac:dyDescent="0.2">
      <c r="A128" s="5" t="s">
        <v>165</v>
      </c>
      <c r="B128" s="6" t="s">
        <v>57</v>
      </c>
      <c r="C128" s="6">
        <v>1</v>
      </c>
      <c r="D128" s="6">
        <v>0</v>
      </c>
      <c r="E128" s="6">
        <v>1</v>
      </c>
      <c r="F128" s="6" t="s">
        <v>10</v>
      </c>
      <c r="G128" s="6" t="s">
        <v>166</v>
      </c>
      <c r="H128" s="6" t="s">
        <v>111</v>
      </c>
      <c r="I128" s="6" t="s">
        <v>11</v>
      </c>
      <c r="J128" s="6">
        <v>4</v>
      </c>
      <c r="K128" s="18" t="s">
        <v>399</v>
      </c>
      <c r="L128" s="13" t="s">
        <v>399</v>
      </c>
      <c r="M128"/>
      <c r="O128"/>
      <c r="P128"/>
    </row>
    <row r="129" spans="1:16" x14ac:dyDescent="0.2">
      <c r="A129" s="5" t="s">
        <v>167</v>
      </c>
      <c r="B129" s="6" t="s">
        <v>57</v>
      </c>
      <c r="C129" s="6">
        <v>1</v>
      </c>
      <c r="D129" s="6">
        <v>0</v>
      </c>
      <c r="E129" s="6">
        <v>1</v>
      </c>
      <c r="F129" s="6" t="s">
        <v>10</v>
      </c>
      <c r="G129" s="6" t="s">
        <v>168</v>
      </c>
      <c r="H129" s="6" t="s">
        <v>111</v>
      </c>
      <c r="I129" s="6" t="s">
        <v>11</v>
      </c>
      <c r="J129" s="6">
        <v>4</v>
      </c>
      <c r="K129" s="18" t="s">
        <v>399</v>
      </c>
      <c r="L129" s="13" t="s">
        <v>399</v>
      </c>
      <c r="M129"/>
      <c r="O129"/>
      <c r="P129"/>
    </row>
    <row r="130" spans="1:16" x14ac:dyDescent="0.2">
      <c r="A130" s="5" t="s">
        <v>169</v>
      </c>
      <c r="B130" s="6" t="s">
        <v>57</v>
      </c>
      <c r="C130" s="6">
        <v>1</v>
      </c>
      <c r="D130" s="6">
        <v>0</v>
      </c>
      <c r="E130" s="6">
        <v>1</v>
      </c>
      <c r="F130" s="6" t="s">
        <v>10</v>
      </c>
      <c r="G130" s="6" t="s">
        <v>170</v>
      </c>
      <c r="H130" s="6" t="s">
        <v>111</v>
      </c>
      <c r="I130" s="6" t="s">
        <v>11</v>
      </c>
      <c r="J130" s="6">
        <v>2</v>
      </c>
      <c r="K130" s="18" t="s">
        <v>399</v>
      </c>
      <c r="L130" s="13" t="s">
        <v>399</v>
      </c>
      <c r="M130"/>
      <c r="O130"/>
      <c r="P130"/>
    </row>
    <row r="131" spans="1:16" x14ac:dyDescent="0.2">
      <c r="A131" s="5" t="s">
        <v>171</v>
      </c>
      <c r="B131" s="6" t="s">
        <v>57</v>
      </c>
      <c r="C131" s="6">
        <v>1</v>
      </c>
      <c r="D131" s="6">
        <v>0</v>
      </c>
      <c r="E131" s="6">
        <v>1</v>
      </c>
      <c r="F131" s="6" t="s">
        <v>10</v>
      </c>
      <c r="G131" s="6" t="s">
        <v>172</v>
      </c>
      <c r="H131" s="6" t="s">
        <v>111</v>
      </c>
      <c r="I131" s="6" t="s">
        <v>11</v>
      </c>
      <c r="J131" s="6">
        <v>4</v>
      </c>
      <c r="K131" s="18" t="s">
        <v>399</v>
      </c>
      <c r="L131" s="13" t="s">
        <v>399</v>
      </c>
      <c r="M131"/>
      <c r="O131"/>
      <c r="P131"/>
    </row>
    <row r="132" spans="1:16" x14ac:dyDescent="0.2">
      <c r="A132" s="5" t="s">
        <v>173</v>
      </c>
      <c r="B132" s="6" t="s">
        <v>57</v>
      </c>
      <c r="C132" s="6">
        <v>1</v>
      </c>
      <c r="D132" s="6">
        <v>0</v>
      </c>
      <c r="E132" s="6">
        <v>1</v>
      </c>
      <c r="F132" s="6" t="s">
        <v>10</v>
      </c>
      <c r="G132" s="6" t="s">
        <v>174</v>
      </c>
      <c r="H132" s="6" t="s">
        <v>111</v>
      </c>
      <c r="I132" s="6" t="s">
        <v>11</v>
      </c>
      <c r="J132" s="6">
        <v>2</v>
      </c>
      <c r="K132" s="18" t="s">
        <v>399</v>
      </c>
      <c r="L132" s="13" t="s">
        <v>399</v>
      </c>
      <c r="M132"/>
      <c r="O132"/>
      <c r="P132"/>
    </row>
    <row r="133" spans="1:16" x14ac:dyDescent="0.2">
      <c r="A133" s="5" t="s">
        <v>175</v>
      </c>
      <c r="B133" s="6" t="s">
        <v>57</v>
      </c>
      <c r="C133" s="6">
        <v>1</v>
      </c>
      <c r="D133" s="6">
        <v>0</v>
      </c>
      <c r="E133" s="6">
        <v>1</v>
      </c>
      <c r="F133" s="6" t="s">
        <v>10</v>
      </c>
      <c r="G133" s="6" t="s">
        <v>176</v>
      </c>
      <c r="H133" s="6" t="s">
        <v>111</v>
      </c>
      <c r="I133" s="6" t="s">
        <v>11</v>
      </c>
      <c r="J133" s="6">
        <v>2</v>
      </c>
      <c r="K133" s="18" t="s">
        <v>399</v>
      </c>
      <c r="L133" s="13" t="s">
        <v>399</v>
      </c>
      <c r="M133"/>
      <c r="O133"/>
      <c r="P133"/>
    </row>
    <row r="134" spans="1:16" x14ac:dyDescent="0.2">
      <c r="A134" s="5" t="s">
        <v>177</v>
      </c>
      <c r="B134" s="6" t="s">
        <v>57</v>
      </c>
      <c r="C134" s="6">
        <v>1</v>
      </c>
      <c r="D134" s="6">
        <v>0</v>
      </c>
      <c r="E134" s="6">
        <v>1</v>
      </c>
      <c r="F134" s="6" t="s">
        <v>10</v>
      </c>
      <c r="G134" s="6" t="s">
        <v>178</v>
      </c>
      <c r="H134" s="6" t="s">
        <v>111</v>
      </c>
      <c r="I134" s="6" t="s">
        <v>11</v>
      </c>
      <c r="J134" s="6">
        <v>4</v>
      </c>
      <c r="K134" s="18" t="s">
        <v>399</v>
      </c>
      <c r="L134" s="13" t="s">
        <v>399</v>
      </c>
      <c r="M134"/>
      <c r="O134"/>
      <c r="P134"/>
    </row>
    <row r="135" spans="1:16" x14ac:dyDescent="0.2">
      <c r="A135" s="5" t="s">
        <v>179</v>
      </c>
      <c r="B135" s="6" t="s">
        <v>57</v>
      </c>
      <c r="C135" s="6">
        <v>1</v>
      </c>
      <c r="D135" s="6">
        <v>0</v>
      </c>
      <c r="E135" s="6">
        <v>1</v>
      </c>
      <c r="F135" s="6" t="s">
        <v>10</v>
      </c>
      <c r="G135" s="6" t="s">
        <v>180</v>
      </c>
      <c r="H135" s="6" t="s">
        <v>111</v>
      </c>
      <c r="I135" s="6" t="s">
        <v>11</v>
      </c>
      <c r="J135" s="6">
        <v>4</v>
      </c>
      <c r="K135" s="18" t="s">
        <v>399</v>
      </c>
      <c r="L135" s="13" t="s">
        <v>399</v>
      </c>
      <c r="M135"/>
      <c r="O135"/>
      <c r="P135"/>
    </row>
    <row r="136" spans="1:16" x14ac:dyDescent="0.2">
      <c r="A136" s="5" t="s">
        <v>330</v>
      </c>
      <c r="B136" s="6" t="s">
        <v>8</v>
      </c>
      <c r="C136" s="6">
        <v>3</v>
      </c>
      <c r="D136" s="6">
        <v>3</v>
      </c>
      <c r="E136" s="6">
        <v>0</v>
      </c>
      <c r="F136" s="7">
        <v>3</v>
      </c>
      <c r="G136" s="6" t="s">
        <v>331</v>
      </c>
      <c r="H136" s="6" t="s">
        <v>332</v>
      </c>
      <c r="I136" s="6" t="s">
        <v>11</v>
      </c>
      <c r="J136" s="6">
        <v>1</v>
      </c>
      <c r="K136" s="18" t="s">
        <v>400</v>
      </c>
      <c r="L136" s="13" t="s">
        <v>400</v>
      </c>
      <c r="M136"/>
      <c r="O136"/>
      <c r="P136"/>
    </row>
    <row r="137" spans="1:16" x14ac:dyDescent="0.2">
      <c r="A137" s="5" t="s">
        <v>333</v>
      </c>
      <c r="B137" s="6" t="s">
        <v>8</v>
      </c>
      <c r="C137" s="6">
        <v>2</v>
      </c>
      <c r="D137" s="6">
        <v>2</v>
      </c>
      <c r="E137" s="6">
        <v>0</v>
      </c>
      <c r="F137" s="6">
        <v>2</v>
      </c>
      <c r="G137" s="6" t="s">
        <v>334</v>
      </c>
      <c r="H137" s="6" t="s">
        <v>332</v>
      </c>
      <c r="I137" s="6" t="s">
        <v>11</v>
      </c>
      <c r="J137" s="6">
        <v>1</v>
      </c>
      <c r="K137" s="18" t="s">
        <v>400</v>
      </c>
      <c r="L137" s="13" t="s">
        <v>400</v>
      </c>
      <c r="M137"/>
      <c r="O137"/>
      <c r="P137"/>
    </row>
    <row r="138" spans="1:16" x14ac:dyDescent="0.2">
      <c r="A138" s="5" t="s">
        <v>342</v>
      </c>
      <c r="B138" s="6" t="s">
        <v>57</v>
      </c>
      <c r="C138" s="6">
        <v>9</v>
      </c>
      <c r="D138" s="6">
        <v>0</v>
      </c>
      <c r="E138" s="7">
        <v>9</v>
      </c>
      <c r="F138" s="7">
        <v>9</v>
      </c>
      <c r="G138" s="6" t="s">
        <v>343</v>
      </c>
      <c r="H138" s="6" t="s">
        <v>344</v>
      </c>
      <c r="I138" s="6" t="s">
        <v>11</v>
      </c>
      <c r="J138" s="6">
        <v>3</v>
      </c>
      <c r="K138" s="18" t="s">
        <v>401</v>
      </c>
      <c r="L138" s="13" t="s">
        <v>401</v>
      </c>
      <c r="M138"/>
      <c r="O138"/>
      <c r="P138"/>
    </row>
    <row r="139" spans="1:16" x14ac:dyDescent="0.2">
      <c r="A139" s="5" t="s">
        <v>345</v>
      </c>
      <c r="B139" s="6" t="s">
        <v>57</v>
      </c>
      <c r="C139" s="6">
        <v>1</v>
      </c>
      <c r="D139" s="6">
        <v>0</v>
      </c>
      <c r="E139" s="6">
        <v>1</v>
      </c>
      <c r="F139" s="6" t="s">
        <v>10</v>
      </c>
      <c r="G139" s="6" t="s">
        <v>346</v>
      </c>
      <c r="H139" s="6" t="s">
        <v>344</v>
      </c>
      <c r="I139" s="6" t="s">
        <v>11</v>
      </c>
      <c r="J139" s="6">
        <v>5</v>
      </c>
      <c r="K139" s="18" t="s">
        <v>401</v>
      </c>
      <c r="L139" s="13" t="s">
        <v>401</v>
      </c>
      <c r="M139"/>
      <c r="O139"/>
      <c r="P139"/>
    </row>
    <row r="140" spans="1:16" x14ac:dyDescent="0.2">
      <c r="A140" s="5" t="s">
        <v>347</v>
      </c>
      <c r="B140" s="6" t="s">
        <v>57</v>
      </c>
      <c r="C140" s="6">
        <v>1</v>
      </c>
      <c r="D140" s="6">
        <v>0</v>
      </c>
      <c r="E140" s="6">
        <v>1</v>
      </c>
      <c r="F140" s="6" t="s">
        <v>10</v>
      </c>
      <c r="G140" s="6" t="s">
        <v>348</v>
      </c>
      <c r="H140" s="6" t="s">
        <v>344</v>
      </c>
      <c r="I140" s="6" t="s">
        <v>11</v>
      </c>
      <c r="J140" s="6">
        <v>2</v>
      </c>
      <c r="K140" s="18" t="s">
        <v>401</v>
      </c>
      <c r="L140" s="13" t="s">
        <v>401</v>
      </c>
      <c r="M140"/>
      <c r="O140"/>
      <c r="P140"/>
    </row>
    <row r="141" spans="1:16" x14ac:dyDescent="0.2">
      <c r="A141" s="5" t="s">
        <v>7</v>
      </c>
      <c r="B141" s="6" t="s">
        <v>8</v>
      </c>
      <c r="C141" s="6">
        <v>2</v>
      </c>
      <c r="D141" s="6">
        <v>1</v>
      </c>
      <c r="E141" s="7">
        <v>1</v>
      </c>
      <c r="F141" s="7">
        <v>2</v>
      </c>
      <c r="G141" s="6" t="s">
        <v>9</v>
      </c>
      <c r="H141" s="6" t="s">
        <v>10</v>
      </c>
      <c r="I141" s="6" t="s">
        <v>11</v>
      </c>
      <c r="J141" s="6">
        <v>1</v>
      </c>
      <c r="K141" s="18" t="s">
        <v>411</v>
      </c>
      <c r="L141" s="13" t="s">
        <v>10</v>
      </c>
      <c r="M141"/>
      <c r="O141"/>
      <c r="P141"/>
    </row>
    <row r="142" spans="1:16" x14ac:dyDescent="0.2">
      <c r="A142" s="5" t="s">
        <v>60</v>
      </c>
      <c r="B142" s="6" t="s">
        <v>57</v>
      </c>
      <c r="C142" s="6">
        <v>2</v>
      </c>
      <c r="D142" s="6">
        <v>0</v>
      </c>
      <c r="E142" s="7">
        <v>2</v>
      </c>
      <c r="F142" s="7">
        <v>2</v>
      </c>
      <c r="G142" s="6" t="s">
        <v>61</v>
      </c>
      <c r="H142" s="6" t="s">
        <v>10</v>
      </c>
      <c r="I142" s="6" t="s">
        <v>11</v>
      </c>
      <c r="J142" s="6">
        <v>2</v>
      </c>
      <c r="K142" s="18" t="s">
        <v>411</v>
      </c>
      <c r="L142" s="13" t="s">
        <v>10</v>
      </c>
      <c r="M142"/>
      <c r="O142"/>
      <c r="P142"/>
    </row>
    <row r="143" spans="1:16" x14ac:dyDescent="0.2">
      <c r="A143" s="5" t="s">
        <v>62</v>
      </c>
      <c r="B143" s="6" t="s">
        <v>57</v>
      </c>
      <c r="C143" s="6">
        <v>1</v>
      </c>
      <c r="D143" s="6">
        <v>0</v>
      </c>
      <c r="E143" s="6">
        <v>1</v>
      </c>
      <c r="F143" s="6" t="s">
        <v>10</v>
      </c>
      <c r="G143" s="6" t="s">
        <v>63</v>
      </c>
      <c r="H143" s="6" t="s">
        <v>10</v>
      </c>
      <c r="I143" s="6" t="s">
        <v>11</v>
      </c>
      <c r="J143" s="6">
        <v>5</v>
      </c>
      <c r="K143" s="18" t="s">
        <v>411</v>
      </c>
      <c r="L143" s="13" t="s">
        <v>10</v>
      </c>
      <c r="M143"/>
      <c r="O143"/>
      <c r="P143"/>
    </row>
    <row r="144" spans="1:16" x14ac:dyDescent="0.2">
      <c r="A144" s="5" t="s">
        <v>369</v>
      </c>
      <c r="B144" s="6" t="s">
        <v>57</v>
      </c>
      <c r="C144" s="6">
        <v>1</v>
      </c>
      <c r="D144" s="6">
        <v>0</v>
      </c>
      <c r="E144" s="6">
        <v>1</v>
      </c>
      <c r="F144" s="6" t="s">
        <v>10</v>
      </c>
      <c r="G144" s="6" t="s">
        <v>370</v>
      </c>
      <c r="H144" s="6" t="s">
        <v>367</v>
      </c>
      <c r="I144" s="6" t="s">
        <v>11</v>
      </c>
      <c r="J144" s="6">
        <v>4</v>
      </c>
      <c r="K144" s="18" t="s">
        <v>402</v>
      </c>
      <c r="L144" s="13" t="s">
        <v>402</v>
      </c>
      <c r="M144"/>
      <c r="O144"/>
      <c r="P144"/>
    </row>
    <row r="145" spans="1:16" x14ac:dyDescent="0.2">
      <c r="A145" s="5" t="s">
        <v>371</v>
      </c>
      <c r="B145" s="6" t="s">
        <v>57</v>
      </c>
      <c r="C145" s="6">
        <v>1</v>
      </c>
      <c r="D145" s="6">
        <v>0</v>
      </c>
      <c r="E145" s="6">
        <v>1</v>
      </c>
      <c r="F145" s="6" t="s">
        <v>10</v>
      </c>
      <c r="G145" s="6" t="s">
        <v>372</v>
      </c>
      <c r="H145" s="6" t="s">
        <v>373</v>
      </c>
      <c r="I145" s="6" t="s">
        <v>11</v>
      </c>
      <c r="J145" s="6">
        <v>3</v>
      </c>
      <c r="K145" s="18" t="s">
        <v>402</v>
      </c>
      <c r="L145" s="13" t="s">
        <v>402</v>
      </c>
      <c r="M145"/>
      <c r="O145"/>
      <c r="P145"/>
    </row>
    <row r="146" spans="1:16" x14ac:dyDescent="0.2">
      <c r="A146" s="5" t="s">
        <v>365</v>
      </c>
      <c r="B146" s="6" t="s">
        <v>35</v>
      </c>
      <c r="C146" s="6">
        <v>1</v>
      </c>
      <c r="D146" s="6">
        <v>1</v>
      </c>
      <c r="E146" s="6">
        <v>0</v>
      </c>
      <c r="F146" s="6" t="s">
        <v>10</v>
      </c>
      <c r="G146" s="6" t="s">
        <v>366</v>
      </c>
      <c r="H146" s="10" t="s">
        <v>10</v>
      </c>
      <c r="I146" s="6" t="s">
        <v>368</v>
      </c>
      <c r="J146" s="6">
        <v>5</v>
      </c>
      <c r="K146" s="18" t="s">
        <v>368</v>
      </c>
      <c r="L146" s="13" t="s">
        <v>10</v>
      </c>
      <c r="M146"/>
      <c r="O146"/>
      <c r="P146"/>
    </row>
    <row r="147" spans="1:16" x14ac:dyDescent="0.2">
      <c r="A147" s="5" t="s">
        <v>391</v>
      </c>
      <c r="B147" s="6" t="s">
        <v>13</v>
      </c>
      <c r="C147" s="6">
        <v>1</v>
      </c>
      <c r="D147" s="6">
        <v>0</v>
      </c>
      <c r="E147" s="6">
        <v>1</v>
      </c>
      <c r="F147" s="6" t="s">
        <v>10</v>
      </c>
      <c r="G147" s="6" t="s">
        <v>392</v>
      </c>
      <c r="H147" s="6" t="s">
        <v>393</v>
      </c>
      <c r="I147" s="6" t="s">
        <v>394</v>
      </c>
      <c r="J147" s="6">
        <v>2</v>
      </c>
      <c r="K147" s="18" t="s">
        <v>394</v>
      </c>
      <c r="L147" s="13" t="s">
        <v>10</v>
      </c>
      <c r="M147"/>
      <c r="O147"/>
      <c r="P147"/>
    </row>
    <row r="148" spans="1:16" x14ac:dyDescent="0.2">
      <c r="A148" s="5" t="s">
        <v>50</v>
      </c>
      <c r="B148" s="6" t="s">
        <v>13</v>
      </c>
      <c r="C148" s="6">
        <v>2</v>
      </c>
      <c r="D148" s="6">
        <v>0</v>
      </c>
      <c r="E148" s="6">
        <v>2</v>
      </c>
      <c r="F148" s="7">
        <v>2</v>
      </c>
      <c r="G148" s="6" t="s">
        <v>51</v>
      </c>
      <c r="H148" s="6" t="s">
        <v>10</v>
      </c>
      <c r="I148" s="6" t="s">
        <v>52</v>
      </c>
      <c r="J148" s="6">
        <v>1</v>
      </c>
      <c r="K148" s="18" t="s">
        <v>52</v>
      </c>
      <c r="L148" s="13" t="s">
        <v>10</v>
      </c>
      <c r="M148"/>
      <c r="O148"/>
      <c r="P148"/>
    </row>
    <row r="149" spans="1:16" x14ac:dyDescent="0.2">
      <c r="M149"/>
      <c r="O149"/>
      <c r="P149"/>
    </row>
  </sheetData>
  <sortState xmlns:xlrd2="http://schemas.microsoft.com/office/spreadsheetml/2017/richdata2" ref="M2:O26">
    <sortCondition ref="O2:O26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Massana</dc:creator>
  <cp:lastModifiedBy>Ramon Massana</cp:lastModifiedBy>
  <dcterms:created xsi:type="dcterms:W3CDTF">2026-04-07T09:35:52Z</dcterms:created>
  <dcterms:modified xsi:type="dcterms:W3CDTF">2026-04-08T14:26:07Z</dcterms:modified>
</cp:coreProperties>
</file>