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onM/Desktop/ARTICLE.SAG-collection-David/9-Second-draft/"/>
    </mc:Choice>
  </mc:AlternateContent>
  <xr:revisionPtr revIDLastSave="0" documentId="13_ncr:1_{73B9CF4A-C19C-AB47-A8C1-EFB06C71EF7C}" xr6:coauthVersionLast="47" xr6:coauthVersionMax="47" xr10:uidLastSave="{00000000-0000-0000-0000-000000000000}"/>
  <bookViews>
    <workbookView xWindow="1800" yWindow="760" windowWidth="31160" windowHeight="20500" xr2:uid="{548FA1EE-07F5-5E4A-8623-E1BB29E91FE5}"/>
  </bookViews>
  <sheets>
    <sheet name="Final genomes" sheetId="7" r:id="rId1"/>
  </sheets>
  <definedNames>
    <definedName name="_xlnm._FilterDatabase" localSheetId="0" hidden="1">'Final genomes'!$A$1:$AW$151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7" l="1"/>
  <c r="Z40" i="7"/>
  <c r="AA76" i="7"/>
  <c r="AA113" i="7"/>
  <c r="AA27" i="7"/>
  <c r="AA51" i="7"/>
  <c r="AA52" i="7"/>
  <c r="AA148" i="7"/>
  <c r="AA36" i="7"/>
  <c r="AA121" i="7"/>
  <c r="AA25" i="7"/>
  <c r="AA96" i="7"/>
  <c r="AA60" i="7"/>
  <c r="AA54" i="7"/>
  <c r="AA91" i="7"/>
  <c r="AA75" i="7"/>
  <c r="AA116" i="7"/>
  <c r="AA143" i="7"/>
  <c r="AA147" i="7"/>
  <c r="AA57" i="7"/>
  <c r="AA35" i="7"/>
  <c r="AA112" i="7"/>
  <c r="AA70" i="7"/>
  <c r="AA72" i="7"/>
  <c r="AA50" i="7"/>
  <c r="AA2" i="7"/>
  <c r="AA146" i="7"/>
  <c r="AA69" i="7"/>
  <c r="AA46" i="7"/>
  <c r="AA124" i="7"/>
  <c r="AA126" i="7"/>
  <c r="AA145" i="7"/>
  <c r="AA120" i="7"/>
  <c r="AA129" i="7"/>
  <c r="AA11" i="7"/>
  <c r="AA95" i="7"/>
  <c r="AA127" i="7"/>
  <c r="AA142" i="7"/>
  <c r="AA110" i="7"/>
  <c r="AA82" i="7"/>
  <c r="AA6" i="7"/>
  <c r="AA123" i="7"/>
  <c r="AA144" i="7"/>
  <c r="AA111" i="7"/>
  <c r="AA141" i="7"/>
  <c r="AA21" i="7"/>
  <c r="AA140" i="7"/>
  <c r="AA81" i="7"/>
  <c r="AA34" i="7"/>
  <c r="AA4" i="7"/>
  <c r="AA10" i="7"/>
  <c r="AA122" i="7"/>
  <c r="AA83" i="7"/>
  <c r="AA109" i="7"/>
  <c r="AA48" i="7"/>
  <c r="AA118" i="7"/>
  <c r="AA139" i="7"/>
  <c r="AA19" i="7"/>
  <c r="AA88" i="7"/>
  <c r="AA49" i="7"/>
  <c r="AA128" i="7"/>
  <c r="AA53" i="7"/>
  <c r="AA63" i="7"/>
  <c r="AA5" i="7"/>
  <c r="AA101" i="7"/>
  <c r="AA28" i="7"/>
  <c r="AA97" i="7"/>
  <c r="AA44" i="7"/>
  <c r="AA105" i="7"/>
  <c r="AA138" i="7"/>
  <c r="AA55" i="7"/>
  <c r="AA85" i="7"/>
  <c r="AA66" i="7"/>
  <c r="AA47" i="7"/>
  <c r="AA22" i="7"/>
  <c r="AA99" i="7"/>
  <c r="AA37" i="7"/>
  <c r="AA119" i="7"/>
  <c r="AA84" i="7"/>
  <c r="AA31" i="7"/>
  <c r="AA18" i="7"/>
  <c r="AA87" i="7"/>
  <c r="AA98" i="7"/>
  <c r="AA17" i="7"/>
  <c r="AA26" i="7"/>
  <c r="AA59" i="7"/>
  <c r="AA58" i="7"/>
  <c r="AA14" i="7"/>
  <c r="AA107" i="7"/>
  <c r="AA137" i="7"/>
  <c r="AA136" i="7"/>
  <c r="AA108" i="7"/>
  <c r="AA33" i="7"/>
  <c r="AA24" i="7"/>
  <c r="AA77" i="7"/>
  <c r="AA32" i="7"/>
  <c r="AA43" i="7"/>
  <c r="AA94" i="7"/>
  <c r="AA100" i="7"/>
  <c r="AA114" i="7"/>
  <c r="AA61" i="7"/>
  <c r="AA134" i="7"/>
  <c r="AA133" i="7"/>
  <c r="AA90" i="7"/>
  <c r="AA86" i="7"/>
  <c r="AA67" i="7"/>
  <c r="AA42" i="7"/>
  <c r="AA9" i="7"/>
  <c r="AA20" i="7"/>
  <c r="AA41" i="7"/>
  <c r="AA62" i="7"/>
  <c r="AA71" i="7"/>
  <c r="AA23" i="7"/>
  <c r="AA117" i="7"/>
  <c r="AA103" i="7"/>
  <c r="AA80" i="7"/>
  <c r="AA30" i="7"/>
  <c r="AA3" i="7"/>
  <c r="AA132" i="7"/>
  <c r="AA131" i="7"/>
  <c r="AA7" i="7"/>
  <c r="AA115" i="7"/>
  <c r="AA12" i="7"/>
  <c r="AA45" i="7"/>
  <c r="AA78" i="7"/>
  <c r="AA15" i="7"/>
  <c r="AA73" i="7"/>
  <c r="AA92" i="7"/>
  <c r="AA29" i="7"/>
  <c r="AA68" i="7"/>
  <c r="AA8" i="7"/>
  <c r="AA104" i="7"/>
  <c r="AA79" i="7"/>
  <c r="AA38" i="7"/>
  <c r="AA125" i="7"/>
  <c r="AA13" i="7"/>
  <c r="AA106" i="7"/>
  <c r="AA89" i="7"/>
  <c r="AA74" i="7"/>
  <c r="AA93" i="7"/>
  <c r="AA16" i="7"/>
  <c r="AA39" i="7"/>
  <c r="AA56" i="7"/>
  <c r="AA65" i="7"/>
  <c r="AA64" i="7"/>
  <c r="AA102" i="7"/>
  <c r="Z113" i="7" l="1"/>
  <c r="Z27" i="7"/>
  <c r="Z51" i="7"/>
  <c r="Z52" i="7"/>
  <c r="Z148" i="7"/>
  <c r="Z36" i="7"/>
  <c r="Z121" i="7"/>
  <c r="Z25" i="7"/>
  <c r="Z96" i="7"/>
  <c r="Z60" i="7"/>
  <c r="Z54" i="7"/>
  <c r="Z91" i="7"/>
  <c r="Z75" i="7"/>
  <c r="Z116" i="7"/>
  <c r="Z143" i="7"/>
  <c r="Z147" i="7"/>
  <c r="Z57" i="7"/>
  <c r="Z35" i="7"/>
  <c r="Z112" i="7"/>
  <c r="Z70" i="7"/>
  <c r="Z72" i="7"/>
  <c r="Z50" i="7"/>
  <c r="Z2" i="7"/>
  <c r="Z146" i="7"/>
  <c r="Z69" i="7"/>
  <c r="Z46" i="7"/>
  <c r="Z124" i="7"/>
  <c r="Z126" i="7"/>
  <c r="Z145" i="7"/>
  <c r="Z120" i="7"/>
  <c r="Z129" i="7"/>
  <c r="Z11" i="7"/>
  <c r="Z95" i="7"/>
  <c r="Z127" i="7"/>
  <c r="Z142" i="7"/>
  <c r="Z110" i="7"/>
  <c r="Z82" i="7"/>
  <c r="Z6" i="7"/>
  <c r="Z123" i="7"/>
  <c r="Z144" i="7"/>
  <c r="Z111" i="7"/>
  <c r="Z141" i="7"/>
  <c r="Z21" i="7"/>
  <c r="Z140" i="7"/>
  <c r="Z81" i="7"/>
  <c r="Z34" i="7"/>
  <c r="Z4" i="7"/>
  <c r="Z10" i="7"/>
  <c r="Z122" i="7"/>
  <c r="Z83" i="7"/>
  <c r="Z109" i="7"/>
  <c r="Z48" i="7"/>
  <c r="Z118" i="7"/>
  <c r="Z139" i="7"/>
  <c r="Z19" i="7"/>
  <c r="Z88" i="7"/>
  <c r="Z49" i="7"/>
  <c r="Z128" i="7"/>
  <c r="Z53" i="7"/>
  <c r="Z63" i="7"/>
  <c r="Z5" i="7"/>
  <c r="Z101" i="7"/>
  <c r="Z28" i="7"/>
  <c r="Z97" i="7"/>
  <c r="Z44" i="7"/>
  <c r="Z105" i="7"/>
  <c r="Z138" i="7"/>
  <c r="Z55" i="7"/>
  <c r="Z85" i="7"/>
  <c r="Z66" i="7"/>
  <c r="Z47" i="7"/>
  <c r="Z22" i="7"/>
  <c r="Z99" i="7"/>
  <c r="Z37" i="7"/>
  <c r="Z119" i="7"/>
  <c r="Z84" i="7"/>
  <c r="Z31" i="7"/>
  <c r="Z18" i="7"/>
  <c r="Z87" i="7"/>
  <c r="Z98" i="7"/>
  <c r="Z17" i="7"/>
  <c r="Z26" i="7"/>
  <c r="Z59" i="7"/>
  <c r="Z58" i="7"/>
  <c r="Z14" i="7"/>
  <c r="Z107" i="7"/>
  <c r="Z137" i="7"/>
  <c r="Z136" i="7"/>
  <c r="Z108" i="7"/>
  <c r="Z33" i="7"/>
  <c r="Z24" i="7"/>
  <c r="Z77" i="7"/>
  <c r="Z32" i="7"/>
  <c r="Z43" i="7"/>
  <c r="Z94" i="7"/>
  <c r="Z100" i="7"/>
  <c r="Z114" i="7"/>
  <c r="Z61" i="7"/>
  <c r="Z134" i="7"/>
  <c r="Z133" i="7"/>
  <c r="Z90" i="7"/>
  <c r="Z86" i="7"/>
  <c r="Z67" i="7"/>
  <c r="Z42" i="7"/>
  <c r="Z9" i="7"/>
  <c r="Z20" i="7"/>
  <c r="Z41" i="7"/>
  <c r="Z62" i="7"/>
  <c r="Z71" i="7"/>
  <c r="Z23" i="7"/>
  <c r="Z117" i="7"/>
  <c r="Z103" i="7"/>
  <c r="Z80" i="7"/>
  <c r="Z30" i="7"/>
  <c r="Z3" i="7"/>
  <c r="Z132" i="7"/>
  <c r="Z131" i="7"/>
  <c r="Z7" i="7"/>
  <c r="Z115" i="7"/>
  <c r="Z12" i="7"/>
  <c r="Z45" i="7"/>
  <c r="Z78" i="7"/>
  <c r="Z15" i="7"/>
  <c r="Z73" i="7"/>
  <c r="Z92" i="7"/>
  <c r="Z29" i="7"/>
  <c r="Z68" i="7"/>
  <c r="Z8" i="7"/>
  <c r="Z104" i="7"/>
  <c r="Z79" i="7"/>
  <c r="Z38" i="7"/>
  <c r="Z125" i="7"/>
  <c r="Z13" i="7"/>
  <c r="Z106" i="7"/>
  <c r="Z89" i="7"/>
  <c r="Z74" i="7"/>
  <c r="Z93" i="7"/>
  <c r="Z16" i="7"/>
  <c r="Z39" i="7"/>
  <c r="Z56" i="7"/>
  <c r="Z65" i="7"/>
  <c r="Z64" i="7"/>
  <c r="Z76" i="7"/>
  <c r="Z102" i="7"/>
</calcChain>
</file>

<file path=xl/sharedStrings.xml><?xml version="1.0" encoding="utf-8"?>
<sst xmlns="http://schemas.openxmlformats.org/spreadsheetml/2006/main" count="1943" uniqueCount="997">
  <si>
    <t>Species</t>
  </si>
  <si>
    <t>Group</t>
  </si>
  <si>
    <t>Supergroup</t>
  </si>
  <si>
    <t>All</t>
  </si>
  <si>
    <t>Assem</t>
  </si>
  <si>
    <t>Largest contig</t>
  </si>
  <si>
    <t>GC (%)</t>
  </si>
  <si>
    <t>N50</t>
  </si>
  <si>
    <t>Complete BUSCOs</t>
  </si>
  <si>
    <t>Fragmented BUSCOs</t>
  </si>
  <si>
    <t>Completeness (%) (out of 255)</t>
  </si>
  <si>
    <t>%-eukarya</t>
  </si>
  <si>
    <t>eukarya</t>
  </si>
  <si>
    <t>unknown</t>
  </si>
  <si>
    <t>mitochondrion</t>
  </si>
  <si>
    <t>plastid</t>
  </si>
  <si>
    <t>Final_18S</t>
  </si>
  <si>
    <t>ASV_EukEMM_v2</t>
  </si>
  <si>
    <t>EUKBANK_noblanes</t>
  </si>
  <si>
    <t>OSD_noBlanes</t>
  </si>
  <si>
    <t>Chlorarachnea</t>
  </si>
  <si>
    <t>Rhizaria</t>
  </si>
  <si>
    <t>-</t>
  </si>
  <si>
    <t>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</si>
  <si>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ASV_194</t>
  </si>
  <si>
    <t>e40b68ac46e4f8884a17e5ee8eefc05a79d16e32</t>
  </si>
  <si>
    <t>1ea94def4f_20_1104</t>
  </si>
  <si>
    <t>Choanoflagellata</t>
  </si>
  <si>
    <t>Opisthokonta</t>
  </si>
  <si>
    <t>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</t>
  </si>
  <si>
    <t>c6f2cb8a48c7c31080ec4a5a0074c5b1a49f6137</t>
  </si>
  <si>
    <t>38a76c155d_36_2299</t>
  </si>
  <si>
    <t>MAST-4</t>
  </si>
  <si>
    <t>A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</t>
  </si>
  <si>
    <t>ASV_229</t>
  </si>
  <si>
    <t>fb559ae76ef80a9966e27b58065bbfd76d05d597</t>
  </si>
  <si>
    <t>43e4d5e8e2_22_2174</t>
  </si>
  <si>
    <t>MAST-3</t>
  </si>
  <si>
    <t>Stramenopiles</t>
  </si>
  <si>
    <t>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AGCAGCGGAAAGTTATTCAAACCTTACC</t>
  </si>
  <si>
    <t>ASV_391</t>
  </si>
  <si>
    <t>7fc71903c7b95448305a8a66807afc06a249fb3f</t>
  </si>
  <si>
    <t>446a3b2767_36_1628</t>
  </si>
  <si>
    <t>MAST-7</t>
  </si>
  <si>
    <t>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C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GTAGGAGCACGGGTCGGCCCTCACGGGTTGTACTGTTGTTGCGTCCTGCCGTTTCGGAGGGAATGGTCTCGCTATTAGGTTAGTGT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AGGCGAACTTCACGGTTCGCAGCTG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GTGAACCTGCGGAAGGATCA</t>
  </si>
  <si>
    <t>ASV_3380</t>
  </si>
  <si>
    <t>4f95fe54076d9bc8dc62be75f634c93478eefb66</t>
  </si>
  <si>
    <t>c388b80dce_1_145</t>
  </si>
  <si>
    <t>Labyrinthulomycetes</t>
  </si>
  <si>
    <t>CTGGTTGATCCTGCCAGTAGTCATTCGCTTGTCTTAAAGATTAACCCATGCATGTCTAAGTATAACCGCTTATACTGGAAAACTGCGCACGGCTCATTATATCAGTTATAGTCCATTTGATAGTCTTTTTACAAGGATACTTGTGGCAAATCTAGAAATAATACTTGCATCCAAAGGCGACTTTTGAAGCCTTGCATTTGTTTGATTTAAACCAATACCCTTCGGGGTTGTACTGGTGATTCAGAACAACTAAGCGAATCGCAGAGCTTCGGCGGCGATGAATCATTCGAGTTTCTGCCCCATCAGTTGTCGAAGATAGGGTATTGGCCTATCTTGACTATCACGGGTGACGGAGAATCAGGGTTCGATTCCGGAGAGGGAGCCTTAGAGACGGCTACCACATCCAAGGAAGGCAGCAGGGGCGTAAATTACTCAATACCAAATCGGTGAAGTAGTGACGAGAAATATCATTAAGGAACACTTCGTGTTTTTTAAATGAAATGAGAGCAACGTAAAAACCTCATCGAGGATCAATTGGAGGGCAAGTCTGGTGCCAGCAGCCGCGGTAATTCCAGCTCCAATAGCGAATACTAATTCTGCTGCAGTTAAAAAGCTCGTAGTTGAACTTCTGGTAAGACGTGCCCGGCCTTAGCGTGAACTCGCTTTGTCGCTGTGTGTATCGTTTGGCCATCCTCCGCTAGCAATAGCGGTCTTTCACTGTAAAAAAATTAGGGTGTTTCAAGCAAAAGTTATTTGGAATATATTAGTATGGGATGATAAGATAGGCTCTGAGTGCTATTTTGTTGGTTTGTACATTTAGAGAATGATTAACAGGGACAGTTGGGGGTATTCATATTTACATGTCAGAGGTGAAATTCTTGGATTTTGGAAAGATGAACTACTGCGAAGGCATTTACCAAGGATGTTTTCATTAATCAAGAACGAAAGTTAGGGGATCGAAGATGATTAGATACCATCGTAGTCTTAACCGTAAACGATGCCGACTTGCGATTGTCCAATGGTTTTTCTTTAGCCGTGGGCAGCAGCACATGAGAAATCAAAGTCTTTGGGTTCCGGGGGGAGTATGGTCGCAAGGCTGAAACTTAAAGGAATTGACGGAAGGGCACCACCAGGAGTGGAGCCTGCGGCTTAATTTGACTCAACACGGGAAAACTTACCAGGTCCAGACATAGGAAGGATTGACAGATTGAGAGCTCTTTCTTGATTCTATGGGTGGTGGTGCATGGCCGTTCTTAGTTGGTGGAGCGATTTGTCTGGTTAATTCCGTTAACGAACGAGACCACAGCCTACTAAATAGTACGTTTTATGGTAACATAGGATGAGACTTCTTAGAGGGACATTTCGGGTTTACCGAAAGGAAGTTTGTGGCAATAACAGGTCTGTGATGCCCTTAGATGTTCTGGGCCGCACGCGCGCTACACTGACGACTTCAACGAGTTTTTTTCTTTGAAAAAGTCCTTGGCCGGAAGGTCTGGGTAATCTTTTAAAAGGTCGTCGTGATGGGGCTAGATTCTTGCAATTATTAATCTCCAACGAGGAATTCCTAGTAAACGCAAGTCATCAACTTGCATTGATTACGTCCCTGCCCTTTGTACACACCGCCCGTCGCACCTACCGATTGAACGTTCCGGTGAGACCTTGGGATTTGGTCTTTGGTACTTTATTGTGCCGTTGACCGAAAAACTTGAGCAAACCTTAACGTTTAGAGGAAGGTGAAGTCGTAACAAGGTTTCCGTAGGTGAACCTGCGGAAGGATCA</t>
  </si>
  <si>
    <t>ASV_732</t>
  </si>
  <si>
    <t>f4d4b3a47baf5bd52ef27c03392759f8067a3fcf</t>
  </si>
  <si>
    <t>c19491d6ee_36_2072</t>
  </si>
  <si>
    <t>CCTGGTTGATCCTGCCAGTAGTCATACGCTCGTCTCAAAGATTAAGCCATGCATGTGTAAGTATAAACACTTTTATACTGTGAAACTGCGAACGGCTCATTATATCAGTTATAGTTTATTTGATAATACCTTACTACTTGGATAACCGTAGTAATTCTAGAGCTAATACATGCGCAAAGGGGTGACTGTTTGGGAGCCCTGTATTTATTAGATAACAACCAACAATTTTTTGGTGAGTCATGATAACTTAGCGGATCGCAGAGGCCTTAGTTGCCGGCGATGAATCATTCAAGTTTCTGCCCTATCAGCTTTCGATGGTAGTGTATTGGACTACCATGGCATTAACGGGTAACGGAGGATCAGGGTTCGATTCCGGAGAGGGAGCCTGAGAGATGGCTACCACATCCAAGGAAGGCAGCAGGCGCGTAAATTACCCAATCCTAATTCAGGGAGGTAGTGACAATAAATATCAATGCGGGGCCCTCGTGGTCTTGCAATTGGAATGAGTACAATTTAAATCCCTTAACGAGGATCAATTGGAGGGCAAGTCTGGTGCCAGCAGCCGCGGTAATTCCAGCTCCAATAGCGTATATTAAAGTTGTTGCAGTTAAAAAGCTCGTAGTTGGATTTCTGATTCAAAGTTCCGGTCCTGCGCTGTGCGTAGTGAACTGTGAAAATTTGGATCATCCTTGTGGGAAACCCAGTTGGGCATTAAGTTGTCGATTGGTGGAACCG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A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GCGACTTCTTAGAGGGACACTTGGCGTTTAGTCAAGGGAAGTTGGAGGCAATAACAGGTCTGTGATGCCCTTAGATGTTCTGGGCCGCACGCGCGCTACACTGATTCAATCAACGAGTTTATAACCTTGACCGAGAGGACTGGGTAATCTTGTAAATCTGAATCGTGATGGGGATTGGTCCTTGTAATTCTTGACCATGAACGAGGAATTCCTAGTAAACGCGAGTCATCAGCTCGCATTGATTACGTCCCTGCCCTTTGTACACACCGCCCGTCGCACCTACCGATTGAATGGTCCGGTGAATCCTTCGGACAGCGACTTATGTTTCCTTTATTGTGAGACGTTGTTGCTGGAAGTTGTGTAAACCTTACCATTTAGAGGAAGGTGAAGTCGTAACAAGGTTTCCGTAGGTGAACCTGCGGAAGGATCA</t>
  </si>
  <si>
    <t>ASV_5181</t>
  </si>
  <si>
    <t>No_match</t>
  </si>
  <si>
    <t>No_18S</t>
  </si>
  <si>
    <t>Cercozoa</t>
  </si>
  <si>
    <t>Hydrurus foetidus_92.5</t>
  </si>
  <si>
    <t>Chrysophyceae</t>
  </si>
  <si>
    <t>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N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</t>
  </si>
  <si>
    <t>ASV_422</t>
  </si>
  <si>
    <t>ed12494b27f07c8022f9fa5aa0a60c6173ea54ed</t>
  </si>
  <si>
    <t>e8c4896da9_44_2769</t>
  </si>
  <si>
    <t>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</t>
  </si>
  <si>
    <t>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T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ATGAGAGTACG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CGGGCGAACTTCACGGTTGGTCGCGAT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AGCTTGACTGTGAAAGTTAATTAAACCTTACCATTTAGAGGAAGGTGAAGTCGTAACAAGGTTTCCGTAGGTGAACCTGCGGAAGGATC</t>
  </si>
  <si>
    <t>ASV_888</t>
  </si>
  <si>
    <t>6bca754e0d2c7891ee2eebb51e25df5588a2b20c</t>
  </si>
  <si>
    <t>3aab3e31ae_24_1373</t>
  </si>
  <si>
    <t>ACCTGGTTGATCCTGCCAGTAGTCATACGCTCGTCTCAAAGATTAAGCCATGCATGTGTAAGTATAAACAATTTTATACTGTGAAACTGCGAACGGCTCATTATATCAGTTATAGTTTATTTGATAATACCTTACTACTTGGATAACCGTAGTAATTCTAGAGCTAATACATGCAATAATTCCCAACTTCTGGACGGGATGTATTTATTAGATATCAACCAACCCTCTTCGGAGGTTTTTGGTGAATCATAATAACTGTGCGGATCGCAGAGGCCTTTGCGCCGGCGATGAATCATTCAAGTTTCTGCCCTATCAGCTTTCGATGGTAGTGTATTGGACTACCATGGCGGTGACGGGTAACGGAGAATTAGGGTTCGATTCCGGAGAGGGAGCCTGAGAAATGGCTACCACATCCAAGGAAGGCAGCAGGCGCGTAAATTACCCAATCCCAATTCGGGGAGGTAGTGACAATAAATATCAATGCGGGGCACACAGTGTCTTGCAATTGGAATGAGTACAATTTAAATCCCTTAACGAGGATCGATTGGAGGGCAAGTCTGGTGCCAGCAGCCGCGGTAATTCCAGCTCCAATAGCGTATATTAAAGTTGTTGCAGTTAAAAAGCTCGTAGTTGGATTTCTGGTCTGAGCGTCCGGTCCGCCGCTGTGCGGTGTGTACTTGGTATGACTCGGGCCTTCCTTGTAGGGAATGTCTCTGGCATTAATTTGTCGGGGTCGGGAACTGCATCGTTTACTGTGAAAAAATTAGAGTGTTTAAAGCAGGCATTTGCTGTGAATACATTAGCATGGAATAATAAGATAGGACTTTGGTTCTATTTTGTTGGTTGGAGGCCAAGGTAATGATTAATAGGGATAGTTGGGGGTATTCATATTTAATTGTCAGAGGTGAAATTCTTGGATTTATGAAAGATGAACTTATGCGAAAGCATTTACCAAGGATGTTTTCATTAATCAAGAACGAAAGTTAGGGGATCGAAGAGGATTAGATACCCTCGTAGTCTTAACCATAAACTATGCCGACTTGGGATTGGAGGGCGTATATTTATGACCCCTTCAGCACCATATGAGAAATCAAAGTCTTTGGGTTCCGGGGGGAGTATGGTCGCAAGGCTGAAACTTAAAGGAATTGACGGAAGGGCACCACCAGGAGTGGAGCCTGCGGCTTAATTTGACTCAACACGGGAAAACTCACCAGGTCCGGACATAGTAAGGATTGACAGATTGACAGCTCTTTCTTGATTCTATGGGTGGTGGTGCATGGCCGTTCTTAGTTGGTGGAGTGATTTGTCTGGTTAATTCCGTTAACGAACGAGACCTCCGCCTACTAAATAGTCAGGGGAATCATTTCGATTGCTCGGCGACTTCTTAGAGGGACACCTGGTGTTTAACCAGGGGAAGTTGGAGGCAATAACAGGTCTGTGATGCCCTTAGATGTTCTGGGCTGCACGCGCGCTACACTGATTCAGCCAACAAGTATATAACCTTGACTGGAAGGTCTGGGTAATCTTTTCAAACTGAATCGTGCTGGGGATTGTTCATTGGAATTTTTGAACATAAACGAGGAATTCCTAGTAAACGCGAGTCATCAGCTCGCATTGATTACGTCCCTGCCCTTTGTACACACCGCCCGTCGCACCTACCGATTGAATGCTCCCGTGAGGCCTTCGGACTGTGGCTGATGTCTCCTTCATTGGAGACGTAGCTGTGGAAAGTTGTCCAAACGTTAGCATTTAGAGGAAGGTGAAGTCGTAACAAGGTTTCCGTAGGTGAACCTGCGGAAGGATCA</t>
  </si>
  <si>
    <t>ASV_643</t>
  </si>
  <si>
    <t>2db6843c3badb959772e1f2383e41bba6000676a</t>
  </si>
  <si>
    <t>a5e03f8376_35_1160</t>
  </si>
  <si>
    <t>TAGTCATACGCTTGTCTCAAAGATTAAGCCATGCATGTCTAAGTATAAACAATCTATACAGTGAAACTGCGAATGGCTCATTATATCAGTTATAGTTTATTTGATAGTACCTACTACTTGGATAACCGTAGTAATTCTAGAGCTAATACATGCGTTAAGACCCGACTGTTGCGGAAGGGTTGTATTTATTAGATAGAAACCATCGCGGCCTTGCGCCGGTATTGTGGTGAATCATAATAAATTTGCGAATCGTATGGCCTTGTGCCGACGATGAATCATTCAAGTTTCTGCCCTATCAGCTGTCGATGGTA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GTGAACCTGCGGAAGGATC</t>
  </si>
  <si>
    <t>ASV_2826</t>
  </si>
  <si>
    <t>3cec939ec4_3_60</t>
  </si>
  <si>
    <t>AACCTGGTTGATTCTGCCAGTAGCATACGCTTGTCTCAAAGATTAAGCCATGCATGTCTAAGTATAAACAAATCTATACTGTGAAACTGCGAATGGCTCATTATATCAGTTATAGTTTATTTGATGGTTCTTGCTACTTGGATAACCGTAGTAATTCTAGAGCTAATACATGCACACAGTCCCGACTTTGAAGGGATGTATTTATTAGATGGAAACCAATGCGGGGCAACCCGGAATCTGGTGATTCATAATAACTTTCGGAGCGATCGTC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TGACATTT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TAATTATGCTTAGT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TGATCATTAGACCCTCGGGTCTTTTGGTTGTGGAAAGTTATTTAAACCTCAACATTTAGAGGAAGGTGAAGTCGTAACAAGGTTTCCGTAGGTGAACCTGCGGAAGGATC</t>
  </si>
  <si>
    <t>ASV_290</t>
  </si>
  <si>
    <t>0b969d7d54bb45c23c11cade632ddf7c899f8b47</t>
  </si>
  <si>
    <t>a5a9c63f46_46_2528</t>
  </si>
  <si>
    <t>Mallomonas annulata_93.3</t>
  </si>
  <si>
    <t>ACCTGGTTGATTCTGCCAG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CAGTTTTTGGACCCTCGGGTCCTCTGACTGTGGAAAGTTATTTAAACCTCAACATTTAGAGGAAGGTGAAGTCGTAACAAGGTTTCCGTAG</t>
  </si>
  <si>
    <t>ASV_1368</t>
  </si>
  <si>
    <t>37ab5ebfc458367a93adbf0a6650089dd559d350</t>
  </si>
  <si>
    <t>cb3f9b7948_10_910</t>
  </si>
  <si>
    <t>Picozoa</t>
  </si>
  <si>
    <t>Archaeplastida</t>
  </si>
  <si>
    <t>TACCTGGTTGATCCTGCCAGTAGTCATATGCTTGTCTCAAAGATTAAGCCATGCATGTCTAAGTATAAGCATTTATACTGTGAAACTGCGAATGGCTCATTAAATCAGTTATCGTTTATTTGATGATCTCTTGCTACTTGGATACCCGTGGTAATTCTAGAGCTAATACATGCGACAACACCCGACTTCTGGAAGGGTGGTATTTATTAGATAAAAAACCTTCTCGCTTCGGCGATGTCT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GTGAAGGCGTTATTTTATACGACCCTTCAT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GATGATTTCTTCATCGTGTGCATCTTCTTAGAGGGACTATCGGTGTCTAACCGATGGAAGTTTGAGGCAATAACAGGTCTGTGATGCCCTTAGATGTTCTGGGCCGCACGCGCGCTACACTGATGAATTCAACGAGTTTTCCACCTTGACCGAGAGGTCCGGGAAATCTTTTCAACTTTCATCGTGATGGGGATAGATTATTGCAATTATTAATCTTGAACGAGGAATTCCTAGTAAGCGCCAGTCATCAGCTGGCGTTGATTACGTCCCTGCCCTTTGTACACACCGCCCGTCGCTACTACCGATTGAATAACAGGGTGAAATCTTCGGACCGTGGCATTCATTTGGCCTAGCCAAATCTTGCTCGTGGGAGGTCGCTTAAATCCTGTTATTTAGAGGAAGTAAAAGTCGTAACAAGGTTTCCGTAGGTGAACCTGCGGAAGGATC</t>
  </si>
  <si>
    <t>ASV_163</t>
  </si>
  <si>
    <t>9da20060d5160cf7d8002fc149c5c56d0bac6601</t>
  </si>
  <si>
    <t>6ed26165f2_92_8197</t>
  </si>
  <si>
    <t>Savillea micropora_94.7</t>
  </si>
  <si>
    <t>ACCTGGTTGATCCTGCCAGTAGTCATATGCTTGTCTCAAAGATTAAGCCATGCATGTCTGAGTATAAATGACTTTATACTGTGAAACTGCGAATGGCTCATTAAATCAGTTATAGTTTATTTGATAGTACCTACTACTTGGATAACCGTGGTAATTCTAGAGCTAATACATGCGAAAAGGTCCGACTTCTGGAAGGGCTGTATTTATTAGATAAAAAACCAATATTTTGGGTTGAATCATAATAACTTTGCGAATCGCATGGTCTTGTGCCGGCGATGAATCATTCAAATTTCTGCCCTATCAACTTTCGATGGTAAGGTATTGGCTTACCATGGTTGCAACGGGTAACGGAGAATTAGGGTTCGATTCCGGAGAGGGAGCCTGAGAGACGGCTACCACATCCAAGGAAGGCAGCAGGCGCGCAAATTACCCAATCCTGACACAGGGAGGTAGTGACAATAAATAACAATACGGAGCCTTTTAGGTTTTGTAATTGGAATGAGTACAATCTAAATCTCTTAACGAGTAACAATTGGAGGGCAAGTCTGGTGCCAGCAGCCGCGGTAATTCCAGCTCCAATAGCGTATATTAAAGTTGTTGCAGTTAAAAAGCTCGTAGTTGGATTTCTGGCTCGGTGAGGCGGTCCCTCTCGCGAGGCGCACTGCAGCGCCGGGCCATCCTCTCGAAGGCGGGTGGTGTCATTAATTTGATGTCGCACGAACTCGAGACCTTTACTTTGAAAAAATTAGAGTGTTCAAAGCAGGCATACGCTTGAATACATTAGCATGGAATAATGGAATAGGACTTTGGTTCTATTTTGTTGGTTTCTAGGACCGAAGTAATGATTAATAGGGACAGTTGGGGGCATTAGTATTTAATTGTCAGAGGTGAAATTCTTGGATTTATGAAAGACTAACTACTGCGAAAGCATTTGCCAAGGATGTTTTCATTAATCAAGAACGAAAGTTAGGGGATCGAAGACGATCAGATACCGTCGTAGTCTTAACCATAAACTATGCCGACTCAGGATCATCGAGGTGATATTAGCCACGGTGGCACTGTACGAGAAATCAAAGTTTTTGGGTTCTGGGGGGAGTATGGTCGCAAGGCTGAAACTTAAAGGAATTGACGGAAGGGCACCACCAGGAGTGGAGCCTGCGGCTTAATTTGACTCAACACGGGGAAACTCACCAGGTCCAGACATAGTAAGGATTGACAGATTGAGAGCTCTTTCTTGATTCTATGGGTGGTGGTGCATGGCCGTTCTTAGTTGGTGGAGTGATTTGTCTGGTTAATTCCGTTAACGAACGAGACCTTAACCTGCTAAATAGTTACGCGATTTACGAATCGTGGACAACTTCTTAGAGGGACTATCGGTGTTTAACCGATGGAAGTTTGAGGCAATAACAGGTCTGTGATGCCCTTAGATGTTCTGGGCCGCACGCGCGCTACACTGACTGAGACAACGAGTTTATAACCTGCACCGATAGGTGTGGGTAATCTTTTGAGACTTAGTCGTGCTGGGGCTAGATCTTTGTAATTTTCGATCTCAAACGAGGAATTCCTAGTAAGCGTGATTCATCAGATCGCGTTGATTACGTCCCTGCCCTTTGTACACACCGCCCGTCGCTACTACCGATTGAATGGTTTAGTGAGATCTCGGGATTGGCTCTTACGAGCTGGCAACAGCTTATTTGAGCCGAGAACTTGCTCAAACTTGATCATTTAGAGGAAGTAAAAGTCGTAACAAGGTTTCCGTAGGTGAACCTGCGGAAGGATC</t>
  </si>
  <si>
    <t>ASV_1831</t>
  </si>
  <si>
    <t>9fc0b640ddd02d4279eba94b66a5c449aadd44f2</t>
  </si>
  <si>
    <t>4f8ab82e98_9_264</t>
  </si>
  <si>
    <t>Unknown sp1</t>
  </si>
  <si>
    <t>Unknown</t>
  </si>
  <si>
    <t>Cryothecomonas longipes_93.5</t>
  </si>
  <si>
    <t>ACTTCGGTTCTATTTTGTTGGTTTCTAGGACTGAAGTAATGATTGATAGGGATAGTTGGGGGTGCTAGTATTCAGCGGCCAGAGGTGAAATTCTTGGATTCGCTGAAGACTAACTTATGCGAAAGCATTCACCAAGGATGTCTTCTTTAATCAAGAACGAAAGTTGGGGGATCGAAGACGATCAGATACCGTCGTAGTCTCAACCATAAACTATGCCGACTAAGGATGAGTGAACGTTGCTTTTTCGACTTCATTCGCACTTTATGAGAAATCAAAGTTTTTGGGTTCCGGGGGGGAGTATGGTCGCAAGGCTGAAACTTAAAGGAATTGACGGAAGGGCACCACCAGGAGTGGAGCCTGCGGCTTAATTTGACTCAACACGGGAAAACTTACCAGGTCCAGACATAATGAGGATTGACAGATTGAAGATCTTTCTTGATTTTATGGGTGGTGGTGCATGGCCGTTCTTAGTTGGTGGAGTGATTTGTCTGGTTAATTCCGTTAACGAACGAGACCTCGACCTGCTAAATAGTTCGACGAACAGCCTATGCTGTTCGATCGTTTGACTTCTTAGAGGGACTATTGGTGTGTAGCCAATGGAAGTTCGAGGCAATAACAGGTCTGTGATGCCCTTAGATGTTCTGGGCCGCACGCGCGCTACACTGATACGCTCATCAAGCTTACAACCTTGACCGAGAGGTCTGGGTAATCTTTGAAATCGTATCGTGCTGGGGATAGATTATTGTAATTTTTAATCTTCAACGAGGAATTCCTAGTAAACGCAAGTCATCAACTTGCATTGATTACGTCCCTGCCCTTTGTACACACCGCCCGTCGCTACTACCGATCGAATGGCTTAGTGAGCTCTAGGGACTGTTGCCAGCTGTGGGGTTTCTCACAGATGGATGACGGGAACTAGATCAAACTTGATCATTTAGAGGAAGTAAAAGTCGTAACAAGGTTTCCGTAGGTGAACCTGCGGAAGGATCA</t>
  </si>
  <si>
    <t>Little V4 (146 bp)</t>
  </si>
  <si>
    <t>Fuscoporia contigua_99.7</t>
  </si>
  <si>
    <t>GATTAATAGGGATAGTTGGGGGCATTAGTATTCAGTTGCTAGAGGTGAAATTCTTGGATTTACTGAAGACTAACTTCTGCTAAAGCATTTGCCAAGGATGTTTTCATTAATCAAGAACGAAGGTTAGGGGATCGAAAACGATTAGATACCGTTGTAGTCTTAACAGTAAACTATGCCGACTAGGGATCGGACGACCTCACACATATGCGTCGTTCGGCACCTTACGAGAAATCAAAGTCTTTGGGTTCTGGGGGGAGTATGGTCGCAAGGCTGAAACTTAAAGGAATTGACGGAAGGGCACCACCAGGAGTGGAGCCTGCGGCTTAATTTGACTCAACACGGGGAAACTCACCAGGTCCAGACATAACTAGGATTGACAGATTGATAGCTCTTTCTTGATTTTATGGGTGGTGGTGCATGGCCGTTCTTAGTTGGTGGAGTGATTTGTCTGGTTAATTCCGATAACGAACGAGACCTTAACCTGCTAAATAGCCCGGCCGGCTTTTGCTGGTCGCCGGCTTCTTAGAGGGACTGTCAGCGTTTAGCTGACGGAAGTTTGAGGCAATAACAGGTCTGTGATGCCCTTAGATGTTCTGGGCCGCACGCGCGCTACACTGACAGAGCCAGCGAGTCTTTTTTCCTTGGCCGAAAGGTCATGGGTAATCTTGTGAAACTCTGTCGTGCTGGGGATAGAGCATTGCAATTATTGCTCTTCAACGAGGAATTCCTAGTAAGCGTGAGTCATCAGCTCACGTTGATTTCGTCCCTGCCCTTTGTTCACACCGCCCGTCGCTACTACCGATTGAATGGCTTAGTGAGACCTTCGGATTGGCTTCGGGGAGCCGGCAACGGCACCTTGTTGCTGAGAAGTTGGTCAAACTTGGTCATTTAGAGGAAGTAAAAGTCGTAACAAGGTTTCCGTAGGTGA</t>
  </si>
  <si>
    <t>Little V4 (106 bp)</t>
  </si>
  <si>
    <t>Micromonas bravo</t>
  </si>
  <si>
    <t>Mamiellophyceae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</si>
  <si>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</t>
  </si>
  <si>
    <t>ASV_62</t>
  </si>
  <si>
    <t>15df83148829770717387646f704a79310ff8700</t>
  </si>
  <si>
    <t>1c4e012b60_152_124191</t>
  </si>
  <si>
    <t>Micromonas bravo_99.8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</si>
  <si>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</t>
  </si>
  <si>
    <t>ASV_19</t>
  </si>
  <si>
    <t>a940c0f810f1168ddf166d4f9e17e069a1036719</t>
  </si>
  <si>
    <t>3932d46ca9_89_22195</t>
  </si>
  <si>
    <t>ACCTGGTTGATCCTGCCAGTAGTCATATGCTTGTCTCAAAGATTAAGCCATGCATGTCTAAGTATAAGCGTTATACTGTGAAACTGCGAATGGCTCATTAAATCAGCAATAGTTTCTTTGGTGGTGTTTACTACATGGATAACCGTAGTAATTCTAGAGCTAATACATGCGTAAATCTCGACTCACGAAGAGACGTATTTATTAGATAAAGACCGACCTCGTTCTGCGGTGAATCATGATAACTTCACGGACCGCATGGCCTCG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GCGGCCGGTCCGCCGTTTGGTGTGCACTGGCTGGTTTCAACTTCCTGTAGAGGACGCGCTTTGGGCTTAACGGTCTGA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C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CTTTGGACGGTTCGCCGTCTGTTGGCTGCGGGAAGTTCGTTAAACCTTATCATTTAGAGGAAGGAGAAGTCGTAACAAGGTTTCCGTAGGTGAACCTGCGGAAGGATC</t>
  </si>
  <si>
    <t>ASV_622</t>
  </si>
  <si>
    <t>98b3fd20b4512eb1d362d349c7bac178c337cdea</t>
  </si>
  <si>
    <t>928ab33c48_21_12359</t>
  </si>
  <si>
    <t>Micromonas bravo_98.4b</t>
  </si>
  <si>
    <t>Prymnesiophyceae</t>
  </si>
  <si>
    <t>Haptista</t>
  </si>
  <si>
    <t>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</t>
  </si>
  <si>
    <t>ASV_172</t>
  </si>
  <si>
    <t>81e063941f62c9b3a74599051bd31dca268215f5</t>
  </si>
  <si>
    <t>927385606c_66_7844</t>
  </si>
  <si>
    <t>Phaeomonas parva_99.5</t>
  </si>
  <si>
    <t>Pinguiophyceae</t>
  </si>
  <si>
    <t>ACCTGGTTGATTCTGCCAGTAGTCATACGCTCGTCTCAAAGATTAAGCCATGCATGTCTGAGTATAAACGCTTCTATACCGATGAAACTGCGAATGGCTCATTATATCAGTTATAGTTTCTTTGATATTCCCTGGCTACATGGATAACCGTAGTAATTCTAGAGCTAATACATGCACTAATCCCAACTGCTTGTCGGAAGGGATGTATTTATTAGATGGAAACCAATGCGGCTTCGGCCGGTTTTGTGGTGAATCATAATAACTTTGCGAATCGCTCTTTGAGCGATGGATCATTCAAGTTTCTGCCCTATCAGCTTTGGATGGTAGGGTATTGGCCTACCATGGCGGTAACGGGTAACGGAGAATTGGGGTTCGATTCCGGAGAGGGAGCCTGAGAGACGGCTACCACATCCAAGGAAGGCAGCAGGCGCGTAAATTACCCAATCCTGACGAAGGGAGGTAGTGACAATAAATAACAATGTACGGACTTTTACAAGTCGCGTCATCTGGAATGAGAACAATTTAAATCCCTTATCGAGGATCAATTGGAGGGCAAGTCTGGTGCCAGCAGCCGCGGTAATTCCAGCTCCAATAGCGTATATTAAAGTTGTTGCAGTTAAAAAGCTCGTAGTTGGATTTCTGGTGGGGGCCGCTGGTCCGCCGCGCAAGTGGCGTGACCGATGCGTGCCTACCGCCATCCTCGGAGGGGCTTCACGTGGGATTAGTTTCTCGTGCGTTAGTGACTCCGTCTTTTACTGTGAAAAAATTAGAGTGTTCAAAGCAGGCTGAGGCCGTTGAATACATTAGCATGGAATAATGAGATAGGACCTTGGCGGTCTATTTTGTTGGTTTGCACGCCAAGGTAATGATTAATAGGGATAGTTGGGGGTATTCGTATTCAATTGTCAGAGGTGAAATTCTTAGATTTATGGAAGACGAACTACTGCGAAAGCATTTACCAAGGATGTTTTCATTAATCAAGAACGAAAGTTAGGGGATCGAAGATGATTAGATACCATCGTAGTCTTAACCATAAACTATGCCGACTCGGGATTGGCGGTGGTTCTTTGTTGGCCCCGTCAGCACCGTATGAGAAATCAAAGTCTTTGGGTTCCGGGGGGAGTATGGTCGCAAGTCTGAAACTTAAAGAAATTGACGGAAGGGCACCACCAGGAGTGGAGCCTGCGGCTTAATTTGACTCAACACGGGGAAACTTACCAGGTCCAGACATAGTGAGGATTGACAGATTGAGAGCTCTTTCTTGATTCTATGGGTGGTGGTGCATGGCCGTTCTTAGTTGGTGGAGTGATTTGTCTGGTTAATTCCGTTAACGAACGAGACCCCCGCCTGCTAAATAGATCCCTCGATGCATTGCATCGTGTGGTTATCTTCTTAGAGGGACTTTACGTGACTAACGTAAGGAAGTTGGGGGCAATAACAGGTCTGTGATGCCCTTAGATGTCCTGGGCCGCACGCGCGCTACACTGATGCGTTCAACGAGACAACCTTGGTCGAGAGGCCCGCGGTAATCTTTTGAATGCGCATCGTGATAGGGATAGATCATTGCAATTATTGATCTTGAACGAGGAATTCCTAGTAAACGCGAGTCATCAGCTCGCATTGATTACGTCCCTGCCCTTTGTACACACCGCCCGTCGCACCTACCGATTGAACGATTCGGTGAAAACTCGGGACCGTGGCTGCGCGTCCTTTATTGGATGCGCTTCCGTGGGAACTTGTGTAAACCTCATCGTTTAGAGGAAGGTGAAGTCGTAACAAGGTTTCCGTAGGTGAACCTGCGGAAGGAT</t>
  </si>
  <si>
    <t>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T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A</t>
  </si>
  <si>
    <t>ASV_20507</t>
  </si>
  <si>
    <t>74ee19912b8fdd25ddec8f2d821c3f2369c0a036</t>
  </si>
  <si>
    <t>5e2d6d6255_5_1420</t>
  </si>
  <si>
    <t>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CTGAGTGATTGTGCTGTACTGGTCTGCCATGTTTGGGTGGAATCTGTGTGGCATTAAGTTGTCGTGCAGGGGATGCCCATCGTTTACTGTGAAAAAATTAGAGTGTTCAAAGCAGGCTTATGCCGTTGAATATATTAGCATGGAATAATGATATAGGACCTTGGTACTATTTTGTTGGTTTGCGCACTAAGGTAATGATTAAGAGGGACAGTTGGGGGTATTTGTATTCCATTGTCAGAGGTGAAATTCTTA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GTTAGCCGCGAGAACTTGTCTAAACCTTATCATTTAGAGGAAGGTGAAGTCGTAACAAGGTTTCCGTAGGTGAACCTGCGGAAGGATC</t>
  </si>
  <si>
    <t>ASV_742</t>
  </si>
  <si>
    <t>a3459ded14_36_5838</t>
  </si>
  <si>
    <t>Florenciella parvula_99.3</t>
  </si>
  <si>
    <t>Dictyochophyceae</t>
  </si>
  <si>
    <t>CTGGTTGATTCTGCCAGTAGTCATACGCTTGTCTCAAAGATTAAGCCATGCATGTCTAAGTATAAACGACTCTATACTGTGAAACTGCGTACGGCTCATTAAACCAGTTATAGTTTATTTGATATTCCCCTACTACTCGGATACCCGTAGTAATTCTAGAGCTAATACGTGCATCAACCCCCAACTGAGCGATCGGACGGGGGGTCATTATTAGATAGAAGCCAATGGCGCGCAAGCGTGTATTGTGGTGAGTCATGATAATTGTGCGGATCGCATGGCCTCGCGCCGGCGATGGATCATTCAAGTTTCTGCCCTATCAGCTTTGGATGGTAGGGTATTGGCCTACCATGGCTTTAACGGGTAACGGAGAATTGGGGTTCGATTCCGGAGAGGGAGCCTGAGAGACGGCTACCACATCCAAGGAAGGCAGCAGGCGCGTAAATTACCCAATCCTGACACAGGGAGGTAGTGACAAAAAATAACAATGCCGGGCTTTTTCAAGTCTGGCAATTGGAATGAGAACAATTTAAATCCCTTATCGAGGATCAATTGGAGGGCAAGTCTGGTGCCAGCAGCCGCGGTAATTCCAGCTCCAATAGCGTATATTAAAGTTGTTGCAGTTAAAAAGCTCGTAGTTGGATTTCTGGTGGGGCTGTCGGCCTGGCTCCGAAAGGGGTCGTGGTATCGTTACA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TATGCCGACTAGGGATTGGCGGTCGCTTGTTCAGGCTCCGTCAGCACCT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GCCGCTTCTTAGAGGGACTTTTGGTGACTAACCAAAGGAAGTTGGGGGCAATAACAGGTCTGTGATGCCCTTAGATGTCCTGGGCTGCACGCGCGCTACACTGACACATGCAACGAGTCTACAACCTTGGCTGGAAGGCCTGGGTAATCTGTGAACGTGTGTCGTGATAGGGATAGATTATTGCAATTATTAATCTTGAACGAGGAATTCCTAGTAAACGCAAGTCATCAGCTTGCATTGATTACGTCCCTGCCCTTTGTACACACCGCCCGTCGCACCTACCGATTGAATGGTTCGGTGAGGTCTCAGGATCGTGGCTTAGCACCTTCATTGGAGCTCTGCCGTGAGAATTTGCCCAAACCTCATCATTTAGAGGAAGGTGAAGTCGTAACAAGGTTACCGTAGGTGAACCTGCGGTAGGATC</t>
  </si>
  <si>
    <t>ASV_1049</t>
  </si>
  <si>
    <t>0a51011335279dad96a173d985b5b890db3d43da</t>
  </si>
  <si>
    <t>ea9a70b0bb_11_587</t>
  </si>
  <si>
    <t>Ochromonas villosa_97.0</t>
  </si>
  <si>
    <t>AACCTGGTTGATTCTGCCAGTAGCATACGCTTGTCTCAAAGATTAAGCCATGCATGTCTAAGTATAAACAACTCTATACTGTGAAACTGCGAATGGCTCATTATATCAGTTATAGTTTCTTTGATGGTCCTTGCTACTTGGATAACCGTAGTAATTCTAGAGCTAATACATGCATCAAACCCCGACTTCTGGAAGGGGTGTATTTATTAGATGGAAACCAATGCGGGGCAACCCGGTATATGGTGATTCATAATAACTTTCGGATCGATCTTCGGATCGATGCATCATTCAAGTTTCTGCCCTATCAGCTTTGGATGGTAGGGTATTGGCCTACCATGGCTTTAACGGGTAACGGAGAATTAGGGTTCGATTCCGGAGAGGGAGCCTGAGAAACGGCTACCACATCCAAGGAAGGCAGCAGGCGCGTAAATTACCCAATCCTGACACAGGGAGGTAGTGACAATAAATAACAATGCCGGGCATTTTGTCTGGCAATTGGAATGAGAACAATTTAAATCCCTTATCGAGGATCAATTGGAGGGCAAGTCTGGTGCCAGCAGCCGCGGTAATTCCAGCTCCAATAGCGTATACTAAAGTTGTTGCAGTTAAAAAGCTCGTAGTTGAATTTCTGGTCTCGGACGGCGGTCTGCCTCAAACGAGGTACGCACCATCTGTCCGAGTCCATCCTCGGGGAGAACGTGTCTGTGATTAAGTTCATGGGCTCGGGACCTCCGTCATTTACTGTGAGCAAAATAGAGTGTTCAAAGCAGGCTTATGCCGTTGAATACATTAGCATGGAATAATAAGATAAGACCTTGGTCTATTTTGTTGGTTTGTAC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CATGTGAATGCTTAGCATTGACGTTGGCTTCTTAGAGGGACTTTCGGTGACTAACCGAAGGAAGTTGGGGGCAATAACAGGTCTGTGATGCCCTTAGATGTCCTGGGCCGCACGCGCGCTACACTGACACACGCATCGAGTTTTCCTTGTCCGAAAGGTCTGGGTAATCTGTTAAATGTGTGTCGTGATAGGGATAGATTATTGCAATTATTAATCTTGAACGAGGAATTCCTAGTAAATGCGAATCATCAGTTCGCGTTGATTACGTCCCTGCCCTTTGTACACACCGCCCGTCGCACCTACCGATTGAATGATTCGGTGAAACTCTCGGACCGTCGCCCGGACTTCTTCGGAAGACCAGGAGGTGGGAAGTTATTTAAACCTCATCATTTAGAGGAAGGTGAAGTCGTAACAAGGTTTCCGTAGGTGAACCTGCGGAAGGATCA</t>
  </si>
  <si>
    <t>ASV_1543</t>
  </si>
  <si>
    <t>47365ba52b2f10615187cd65b4681c62f06dc1d0</t>
  </si>
  <si>
    <t>ff4b4344fe_15_487</t>
  </si>
  <si>
    <t>Chrysochromulina scutellum_98.2</t>
  </si>
  <si>
    <t>CCTGGTTGATCCTGCCAGTAGTCATATGCTTGTCTCAAAGATTAAGCCATGCATGTCTAAGTATAAGCGACTATACTGTGAAACTGCGAATGGCTCATTAAATCAGTTATGGTTTATTTGATGGTACCTACTACTTGGATAACCGTAGTAATTCTAGAGCTAATACATGCAGGAAGACCCGACTTCGGG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G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TTCTTTGGACCCTGGCAACGGCTTTGGTTCGCCAAACTGATGCTGGGGGAAGATGCGCAAACCTTATCATTTAGAGGAAGGAGAAGTCGTAACAAGGTTTCCGTAGGTGAACCTGCGGAAGGATCA</t>
  </si>
  <si>
    <t>ASV_14233</t>
  </si>
  <si>
    <t>6918661c1669c624b1fc4237c69cb658f96ecca0</t>
  </si>
  <si>
    <t>4543507fe5_16_548</t>
  </si>
  <si>
    <t>Chrysochromulina simplex_98.7</t>
  </si>
  <si>
    <t>GATACCGTCGTAGTCTTAACCATAAACCATGCCGACTAGGGATTCGACGATGTTCACTTATTGACTTGTTGAGCACCTTACGGGAAACTAAAGTCTTTGGGTTCCGGGGGGAGTATGGTCGCAAGGCTGAAACTTAAAGGAATTGACGGAAGGGCACCACCAGGTGTGGAGCCTGCGGCTTAATTTGACTCAACACGGGGAAACTTACCAGGTCCAGACATAGTAAGGATTGACAGATTGATAGCTCTTTCTTGATTCTATGGGTGGTGGTGCATGGCCGTTCTTAGTTGGTGGAGTGATTTGTCTGGTTAATTCCGTTAACGAACGAGACCTTAGCCTGCTAAATAGTGGCGCGAACTTTTCGTTCGCGGCTACGTCTTAGAGGGACAACTTGTCTTCAACAAGTGGAAGTTTGAGGCAATAACAGGTCTGTGATGCCCTTAGATGTTCTGGGCCGCACGCGCGCTACACTGACGAATGCAACGAGCTTATAACCTTGGCCGAAAGGTCTGGG</t>
  </si>
  <si>
    <t>No V4 (1002-1515)</t>
  </si>
  <si>
    <t>TACCTGGTTGATCCTGCCAGTAGTCATATGCTTGTCTCAAAGATTAAGCCATGCATGTCTAAGTATAAGCGTTATACTGTGAAACTGCGAATGGCTCATTAAATCAGCAATAGTTTCTTTGGTGGTGTTTACTACTCGGATAACCGTAGTAATTCTAGAGCTAATACGTGCGTAAATCCCATCTCGGGACGTATTTATTAGATAAAGACCGACCTCGTTCTGCGGTGAATCATGATAACTTTACGGATCGCATGGCCTTGAGCCGGCGATGTTCCATTCAAATTTCTGCCCTATCAACTTTCGATGGTAGGATAGAGGCCTACCATGGTGGTAACGGGTGACGGAGAATTAGGGTTCGATTCCGGAGAGGGAGCCTGAGAAACGGCTACCACATCCAAGGAAGGCAGCAGGCGCGCAAATTACCCAATCCTGACACAGGGAGGTAGTGACAATAAATAACAATACCGGGATTTTTCAATTCTGGTAATTGGAATGAGAACAATCTAAATCCCTTAACGAGGATCCATTGGAGGGCAAGTCTGGTGCCAGCAGCCGCGGTAATTCCAGCTCCAATAGCGTATATTTAAGTTGTTGCAGTTAAAAAGCTCGTAGTTGGATTTCGGTTGGAAGCGGCCGGTCCGCCGTTCGGTGTGCACTGGCTGGTTTCAACTTCCTGCCGAGGACGCGCTCCTGGGTTTAACGATCTGGGACGTGGAGTCGGCGTGGTTACTTTGAAAAAATTAGAGTGTTCAAAGCGGGCTTACGCTTGAATATATTAGCATGGAATAACACTATAGGACTCCTGTCCTATTTCGTTGGTCTCGGGACGGGAGTAATGATTAAGAGGAACAGTTGGGGGCATTCGTATTTCATTGTCAGAGGTGAAATTCTTGGATTTATGAAAGACGAACTTCTGCGAAAGCATTTGCCAAGGATGTTTTCATTAATCAAGAACGAAAGTTGGGGGCTCGAAGATGATTAGATACCATCCTAGTCTCAACCATAAACGATGCCGACTAGGGATTGGCGGATGTTAATCGATGACTC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TATAACCTACCCTTAGGTTGATGACTTCTTAGAGGGACTATGTGCGTTTAGCACATGGAAGTTTGAGGCAATAACAGGTCTGTGATGCCCTTAGATGTTCTGGGCCGCACGCGCGCTACACTGACGAAAGCAACGAGCTTATAACCTTGGCCGAAAGGTCTGGGTAATCTCCAAACTTCGTCGTGATGGGGATAGATTATTGCAATTATTAATCTTCAACGAGGAATGCCTAGTAAGCGCAAGTCATCAGCTTGCGTTGATTACGTCCCTGCCCTTTGTACACACCGCCCGTCGCTCCTACCGATTGAATGGTCCGGTGAAGCGTTCGGACCGTGGCTTTCTGACGGTCCGCCGTCGGATTGCCGTGGGAAGTTCGTTAAACCTTATCATTTAGAGGAAGGAGAAGTCGTAACAAGGTTTCC</t>
  </si>
  <si>
    <t>ASV_2310</t>
  </si>
  <si>
    <t>f2dc6ef299634d5c37fde64c646c03ab933bb771</t>
  </si>
  <si>
    <t>4b1de2aade_9_264</t>
  </si>
  <si>
    <t>Cylindrotheca closterium_98.7</t>
  </si>
  <si>
    <t>ACCTGGTTGATT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GCAGGCGGCCTGTCACAATGTGTCGGAGCTTGCTTGCGTCGCCATCCTTGGGTGGATCCTGTGTGGCATTCA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AGTTACGTTA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TCTAGTGAGTTTTCACTGGATGAATCTTCTTAGAGGGACGTGCATTCTATTAGATGCAGGAAGATAGGGGCAATAACAGGTCTGTGATGCCCTTAGATGTCCTGGGCCGCACGCGCGCTACACTGATGCATTCAACGAGTTTTACCTTGGCCGAGAGGCCTGGGCAATCTTTTGAACGTGCATCGTGATAGGGATAGATTATTGCAATTATTAATCTTGAACGAGGAATTCCTAGTAAACGCAGATCATCAATCTGCATTGATTACGTCCCTGCCCTTTGTACACACCGCCCGTCGCACCTACCGATTGAATGGTCCGGTGAAGCCTCGGGATTGTGGCGAGTTTCCTTTATTGGGAGTTTGTCGCGAGAACTTGTCTAAACCTTATCATTTAGAGGAAGGTGAAGTCGTAACAAGGTTTCCGTAGGTGAACCTGCGGAAGGATCA</t>
  </si>
  <si>
    <t>ASV_1106</t>
  </si>
  <si>
    <t>9f1ecb3a3deb34f81c7f2e3124f6118f88743f59</t>
  </si>
  <si>
    <t>66d8678f68_35_4697</t>
  </si>
  <si>
    <t>MOCH-2</t>
  </si>
  <si>
    <t>CTGGTTGATTCTGCCAGTAGTCATACGCTCGTCTCAAAGATTAAGCCATGCATGTCTAAGTATAAACGACTCTATACTGTGAAACTGCGAATGGCTCATTATATCAGTTATAGTTTATTTGATAGTCCCTTACTACTTGGATACCCGTAGTAATTCTAGAGCTAATACATGCATCAAACCCCAACTTCTGGACGGGGCGTATTTATTAGATGGAAACCAATCGCTTTGCGTATTGTGGTGAATCATGATAACTGTGCGAATCGCATGGCCTTGTGCCGGCGATGGATCATTCAAGTTTCTGCCCTATCAGCTTTGGATGGTAGGGTATTGGCCTACCATGGCTTTAACGGGTAACGGAGAATTGGGGTTCGATTCCGGAGAGGGAGCCTGAGAGACGGCTACCACATCCAAGGAAGGCAGCAGGCGCGTAAATTACCCAATCCTGACACAGGGAGGTAGTGACAATAAATAACAATGCCGGGCTCATCTGAGTCTGGCAATTGGAATGAGAACAATTTAAATCCCTTATCGAGGATCAATTGGAGGGCAAGTCTGGTGCCAGCAGCCGCGGTAATTCC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TCATTAATCAAGAACGAAAGTTAGGGGATCGAAGATGATTAGATACCATCGTAGTCTTAACCATAAACTATGCCGACTCGGGATTGGCGGTCGTTTCTATCCGACTCCGTCAGCACCGTATGAGAAATCAAAGTCTTTGGGTTCCGGGGGGAGTATGGTCGCAAGGCTGAAACTTAAAGAAATTGACGGAAGGGCACCACCAGGAGTGGAGCCTGCGGCTTAATTTGACTCAACACGGGGAAACTTACCAGGTCCAGACATAGTAAGGATTGACAGATTGAGAGCTCTTTCTTGATTCTATGGGTGGTGGTGCATGGCCGTTCTTAGTTGGTGGAGTGATTTGTCTGGTTAATTCCGTTAACGAACGAGACCCTCGCCTGCTAAATAGTTCAGTGAATGCTTTGCATTGACTCGAGCTTCTTAGAGGGACTTTCGGTGACTAACCGAAGGAAGTTGGGGGCAATAACAGGTCTGTGATGCCCTTAGATGTTCTGGGCCGCACGCGCGCTACACTGGTACATGCAACGAGTATATAACCTTGGTCGAGAGGCCTGGGTAATCTGTGAACGTGTACCGTGATTGGGATAGATTCTTGTAATTTTTAATCTTGAACGAGGAATTCCTAGTAAACGCAAGTCATCAACTTGCATTGATTACGTCCCTGCCCTTTGTACACACCGCCCGTCGCACCTACCGATTGAACCATACGGTGAGGTCCTCGGATTTCGCAAGCCGACCTTCATTGGGAGGCTCGTGGAAGAAGTTGCCCAAACCTCGTGGTTTAGAGGAAGGTGAAGTCGTAACAAGGTTTCCGTAGGTGAACCTGCGGAAGGATC</t>
  </si>
  <si>
    <t>ASV_99</t>
  </si>
  <si>
    <t>3ca69f2127f74eee3d72832d40788feb6e23736b</t>
  </si>
  <si>
    <t>9cf31e2b9a_28_1906</t>
  </si>
  <si>
    <t>Chlorodendrophyceae</t>
  </si>
  <si>
    <t>ACCTGGTTGATCCTGCCAGTAGTCATATGCTTGTCTCAAAGATTAAGCCATGCATGTCTAAGTATAAACTGCTTATACTGTGAAACTGCGAATGGCTCATTAAATCAGTTATAGTTTATTTGATGGTACCTACTACTCGGATAACCGTAGTAATTCTAGAGCTAATACGTGCGTAAATCCCGACTTCTGGAAGGGACGTATTTATTAGATTTAAGGCCAACCGAGCTTGCTCGTCTCTTGGTGAATCATGATAACTTCACGAATCGCATGGCCTCGCGCCGGCGATATTTCATTCAAATTTCTGCCCTATCAATTGGCGATGGTAGGATAGAGGCCTACCATGGTGTTAACGGGTGACGGGGGATTAGGGTTCGATTCCGGAGAGGCAGCCTGAGAAACGGCTACCACATCCAAGGAAGGCAGCAGGCGCGCAAATTACCCAATCCTAATTCAGGGAGGTAGTGACAATAAATAACAATACCGGGCTTCTTAAGTCTGGTAATTGGAATGAGTACAATCTAAATCCCTTAACGAGGATCCATTGGAGGGCAAGTCTGGTGCCAGCAGCCGCGGTAATTCCAGCTCCAATAGCGTATATTTAAGTTGTTGCAGTTAAAAAGCTCGTAGTTGGATTTCGGATGGGATCTGCCGGTCCGCCTTTGAGGTGTGTACTGGTAGGTCCTATCTTGTTGTCGGGGACTAGCTCCTGGGCTTCACTGTCCGGGACTA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ACTTCTTAGAGGGACTATTGGCGTTTAGCTAATGGAAGTGTGAGGCAATAACAGGTCTGTGATGCCCTTAGATGTTCTGGGCCGCACGCGCGCTACACTGATGCATTCAACAAGCCTAGCCTTGACCGAGAGGTCCGGGTAATCTTTGAAACTGCATCGTGATGGGGCTAGATTATTGCAATTATTAATCTTCAACGAGGAATGCCTAGTAAGCGTGATTCATCAAATCGCGTTGATTACGTCCCTGCCCTTTGTACACACCGCCCGTCGCTCCTACCGATTGAATGTGTTGGTGAGGAGCTCGGATTGGCAGCAGTTGGTGGTTCGCCACCGGCTATTGCTGAGAAGTCCTCCAAACCGCCCCATTTAGAGGAAGGAGAAGTCGTA</t>
  </si>
  <si>
    <t>ASV_114</t>
  </si>
  <si>
    <t>d5948a931d92425c32663fa5fe9b49b2d773ed05</t>
  </si>
  <si>
    <t>7757003019_45_25390</t>
  </si>
  <si>
    <t>Ostreococcus sp. RCC 143</t>
  </si>
  <si>
    <t>ACCTGGTTGATCCTGCCAGTAGTCATATGCTTGTCTCAAAGATTAAGCCATGCATGTCTAAGTATAAGCGTTATACTGTGAAACTGCGAATGGCTCATTAAATCAGCAATAGTTTCTTTGGTGGTGTTTACTACTCGGATAACCGTAGTAATTCTAGAGCTAATACGTGCGTAAATCCCGACTTCGGAAGGGACGTATTTATTAGATAAAGACCGACCTCGTTCTGCGGTGAATCATAATAACTTTACGGATCGTTGGCCTTGCGCCGGCGATGTTCCATTCAAATTTCTGCCCTATCAACTTTCGATGGTAGGATAGAGGCCTACCATGGTGGTAACGGGTGACGGAGAATTAGGGTTCGATTCCGGAGAGGGAGCCTGAGAAACGGCTACCACATCCAAGGAAGGCAGCAGGCGCGCAAATTACCCAATCCTGACACAGGGAGGTAGTGACAATAAATAACAATACCGGGCTTTTTCAAGTCTGGTAATTGGAATGAGAACAATTTAAATCCCTTAACGAGGATCCATTGGAGGGCAAGTCTGGTGCCAGCAGCCGCGGTAATTCCAGCTCCAATAGCGTATATTTAAGTTGTTGCAGTTAAAAAGCTCGTAGTCGGATTTTGGCTGAGAACGAACGGTCCGCCGTTAGGTGTGCACTGTTTGGTCTCAGCTTCCTGGTGAGGAGGTGTGCTTCACGGCCACTTAGTCACCGTGGTTACTTTGAAAAAATTAGAGTGTTCAAAGCGGGCTTACGCTTGAATATATTAGCATGGAATAACACCATAGGACTCCTGTCCTATTTCGTTGGTCTCGGGACGGGAGTAATGATTAAGAGGAACAGTTGGGGGCATTCGTATTTCATTGTCAGAGGTGAAATTCTTGGATTTATGAAAGACGAACTTCTGCGAAAGCATTTGCCAAGGATGTTTTCATTGATCAAGAACGAAAGTTGGGGGCTCGAAGATGATTAGATACCATCCTAGTCTCAACCATAAACGATGCCGACTAGGGATTGGCGGATGTTAATTGATGACTT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ATGCGCCTACTCTTAGGCGTACGACTTCTTAGAGGGACTATGTGCGTGTAGCACGTGGAAGTTTGAGGCAATAACAGGTCTGTGATGCCCTTAGATGTTCTGGGCCGCACGCGCGCTACACTGACGAATTCAACGAGCTTATAACCTTGGCCGAAAGGTCTAGGTAATCTCCAAAATTCGTCGTGATGGGGATAGATTATTGCAATTATTAATCTTCAACGAGGAATGCCTAGTAAGCGCAAGTCATCAGCTTGCGTTGATTACGTCCCTGCCCTTTGTACACACCGCCCGTCGCTCCTACCGATTGAATGGTCCGGTGAAGCGTTTGGACTATGGTTTTCTGACGGTTCGCCATTGGATTACCGTGGGAAATTCGTTAAACCTTATCATTTAGAGGAAGGAGAAGTCGTAACAAGGTTTCCGTAGGTGAACCTGCGGAAGGATC</t>
  </si>
  <si>
    <t>ASV_37</t>
  </si>
  <si>
    <t>6968ba6f2010bab5cb31768dc19abd441a9b1dbf</t>
  </si>
  <si>
    <t>72406abe0e_57_22018</t>
  </si>
  <si>
    <t>Haptolina fragaria_96.0</t>
  </si>
  <si>
    <t>ACCTGGTTGATCCTGCCAGTAGTCATATGCTTGTCTCAAAGATTAAGCCATGCATGTCTAAGTATAAGCGACTTGTACTGTGAAACTGCGAATGGCTCATTAAATCAGTTATGGTTTATTTGATGGTACCTTACTACTTGGATAACCGTAGTAATTCTAGAGCTAATACATGCAGGGATTCCCGACTTTGGAAGGGATGTATTTATTAGATAAGAAACCTTCGCGGGCTTGCCCGGTTGCGTGCTGAGTCACAATAACTTTTCGAATCGCACGGCTCTACGCCGGCGATGGTTCATTCAAATTTCTGCCCTATCAGCTTTCGATGGTAGGATCGAGGCCTACCATGGCGTTTACGGGTAACGGAGAATTAGGGTTCGATTCCGGAGAGGGAGCCTGAGAAATGGCTACCACATCCAAGGAAGGCAGCAGGCGCGTAAATTGCCCGAATCCTGACACAGGGAGGTAGTGACAAGAAATAACAATACAGGGCCTCACTGGTCTTGTAATTGGAATGAGTACAATTTACATCTCTTCACGAGGATCAATTGGAGGGCAAGTCTGGTGCCAGCAGCCGCGGTAATTCCAGCTCCAACAGCGTATATTAAAGTTGTTGCAGTTAAAACGCTCGTAGTCGGATTTCGGGGCGGGCGGGCCGGTCTGCCGATGGGTATGCACTGGTCTGGCCGTCCTTCCTTCCGGAGACCGTGCGTGCTCTTAACTGAGTGCGT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AGGATGTTCAATACGTGACTCCTTCAGCACCTTTCGGGAAACTAAAGTCTTTGGGTTCCGGGGGGAGTATGGTCGCAAGGCTGAAACTTAAAGGAATTGACGGAAGGGCACCACCAGGAGTGGAGCCTGCGGCTTAATTTGACTCAACACGGGGAAACTTACCAGGTCCAGACATTGTGAGGATTGACAGATTGAGAGCTCTTTCTTGATTCGATGGGTGGTGGTGCATGGCCGTTCTTAGTTGGTGGAGTGATTTGTCTGGTTAATTCCGTTAACGAACGAGACCTTAGCCTATTAAATAGTACCGCGAACTCTTCGTTGGCGCGCACTTCTTAGAGGGACAACTTGTCTTCAACAAGTGGAAGTTTGAGGCAATAACAGGTCTGTGATGCCCTTAGATGTTCTGGGCCGCACGCGCGCTACACTGATGCATTCAACGAGTTTACAACCTCGACCGAAAGGTCTGGGTAACCTTTTGAACTTGCATCGTGATGGGGATAGATTATTGCAATTATTAATCTTCAACGAGGAATTCCTAGTAAGCGCATGTCATCAGCGTGCGTTGATTACGTCCCTGCCCTTTGTACACACCGCCCGTCGCTCCTACCGATTGAATAATCCGGTGAGGCCCCCGGACTGTGGCGTTGCTCCTGGTTCGCCAGGCGCGTCGCCGCGGGAAGCTGTCCAAACCTTATTATTTAGAGGAAGGAGAAG</t>
  </si>
  <si>
    <t>ASV_5403</t>
  </si>
  <si>
    <t>633017a2d2_8_313</t>
  </si>
  <si>
    <t>ACCTGGTTGATTCTGCCAGTAGCATACGCTTGTCTCAAAGATTAAGCCATGCATGTCTAAGTATAAACAAATCTATACGTGAAACTGCGAATGGCTCATTATATCAGTTATAGTTTATTTGATGGTCCTTACTACTTGGATAACCGTAGTAATTCTAGAGCTAATACATGCATCAAACCCCGACTCACGAAGGGGTGTGTTTATTAGATGGAAACCAATGCGGGTTCGCCCGGATTTAGGTGATTCATAATAACTTTCCTATCGGCTTGCCGATGCATCATTCAAGTTTCTGCCCTATCAGGTCTGGATGGTAGGGTATTGGCCTACCATGCCTTTAACGGGTAACGGAGAATTAGGGTTCGATTCCGGAGAGGGGGCCTGAGAAATGGCCACCACATCCAAGGAAGGCAGCAGGCGCGTAAATTACCCAATCCTGACACAGGGAGGTAGTGACAATAAATAACATCGCAGGGCCTTTTCAGGTCTTGCGTTAGGAATGAGAACAATTTAAACCCCTTATCGAGGATCAATTGGAGGGCAAGTCTGGTGCCAGCAGCCGCGGTAATTCCAGCTCCAATAGCGTATACTAAAGTTGTTGCAGTTAAAAAGCTCGTAGTTGAATTTCTGGATGCGAAAGATGGTCGGCACCTCACGGTGTCTGTACCTATCATTCGCGTTCATCCTCGGGAGGAACGTGTGGTCTCTTTAGTGAGCCCGCTCGGGAATCTCGTCATTTACTGTGAGCAAAATAGAGTGTTCAAAGCAGGCTTATGCCGTTGAATATATTAGCATGGAATAATAAGATACGACTTTGGTCTATTTTGTTGGTTTGCATTCCAAAGTAATGATTAATAGGGATAGTTGGGGGTATTCGTATTCAATTGTCAGAGGTGAAATTCTTGGATTTATGGAAGACGAACTACTGCGAAAGCATTTACCAAGGATGTTTTCATTAATCAAGAACGAAAGTTAGGGGATCGAAGATGATTAGATACCATCGTAGTCTTAACCATAAACTATGCCGACTAGGGATTGGTCTTGTTTGTTATGACTGG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CAAATGTGTGTCGTGATAGGGATAGATTATTGCAATTATTAATCTTGAACGAGGAATTCCTAGTAAACGCAAGTCATCAGCTTGCATTGATTACGTCCCTGCCCTTTGTACACACCGCCCGTCGCACCTACCGATTGAATGTCTCGGTGAAATCCCCGGACTATGGCTTTGAGACCCTCGGGTCACTTCGCCGTGGGAAGCGGATTAAACCTCGATATTTAGAGGAAGGTGAAGTCGTAACAAGGTCTCCGTAGGTGAACCTGCGGAGGGATC</t>
  </si>
  <si>
    <t>ASV_392</t>
  </si>
  <si>
    <t>4d46a99e7193bf0ff0b25ac76f7c36a4eb9d3301</t>
  </si>
  <si>
    <t>81d5a10742_60_3422</t>
  </si>
  <si>
    <t>AAGCTCGTAGTTGGATTTCGGTTGCGAACGACCGGTCCGCCGTTTGGTGTGCACTGGTTGGTGCAGCTTCCTGTAGAGGACACGCTCTGGGGTTAACGCTTCGG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TTTTGGACGGTTCGCCGTCTGTTAGCTGCGGGAAGTTCGTTAAACCTTATCATTTAGAGGAAGGAGAAGTCGTAACAAGGTTTCCGTAGGTGAACCTGCGGAAGGATC</t>
  </si>
  <si>
    <t>ASV_198</t>
  </si>
  <si>
    <t>88f25684bc4124ea30cbeb71d526ee88db459971</t>
  </si>
  <si>
    <t>171d80bbba_48_7626</t>
  </si>
  <si>
    <t>MAST-12</t>
  </si>
  <si>
    <t>CCTGGTTGATCCTGCCAGTAGTCATACGCTTGTCTCAAAGATTAAGCCATGCATGTGTAAGTATAAATAATTCTATACTATGAAACTGCGAATGGCTCATTATATCAGTTATAGTTTATTTGATAGTATTTTACTACTTGGATAACCGTAGTAATTCTAGAGCTAATACATGCATCAAATCCCGACTTTCTTGGAAGGGACGTATATATTAGAATTAAACCAATATGCTTCGGCATTATTGTGGTGAGTCATAATATCTTATCGGATCGCAGTGGCTTCGGCCGGCGATGAATCATTCAAGTTTCTGCCCTATCAGCTTTCGATGGTAGTGTATTGGACTACCATGGCGGTAACGGGTAACGAAGAATAAGGGTTCGATTTCGGAGAGGGAGCCTGAGAGACGGCTACCACATCCAAGGAAGGCAGCAGGCGCGTAAATTACCCAATCGTGACACACGGAGGTAGTGACAATAAATATCAATGCGGAGCCCTTTGGGTTTTGCAATTGGAATGAGAACAATTTAAATCCCTTAACGAGGATCAATTGGAGGGCAAGTCTGGTGCCAGCAGCCGCGGTAATTCCAGCTCCAATAGCGTATATTAATGTTGTTGCAGTTAAAAAGCTCGTAGTTGAATTTCTGGACTCATCTTTCGGTCCGAGGCCTTGTGCTTTGCGTACTGTTCTCGATGGGTTCATCTTAGTAGGGAACCATTCTGGTATTAACTTATTGGGGTGTGGAACTGCTTCGTTTACTGTGAATAAAATAGAGTGTTTAAAGCAGGCATTACGCCTTGAATACTTCAGCATGGAATAAAATGATAGGACCTAGGTCTATTTTTATTGGTTATGTTAACTAGGTAATGATTAATAGGGACAGTTGGGGGTATTCATATTTGATTGTCAGAGGTGAAATTCTTGGATTTATGAAAGATGAACTTATGCGAAAGCATTTACCAAGGATGTTTTCATTAATCAAGAACGAAAGTTAGGGGATCGAAGAGGATTAGATACCCTCGTAGTCTTAACCATAAACTATGCCGACTCGGGATCAGTGGGGTTTGTTTAACGTCTCCATTGGCACCGTATGAGAAATCAAAGTCTTTGGGTTCCGGGGGGAGTATGGTCGCAAGGCTGAAACTTAAAGGAATTGACGGAAGGGCACCACCAGGAGTGGAGCCTGCGGCTTAATTTGACTCAACACGGGGAAACTTACCAGGTCCGGACATAGTAAGGATTGACAGATTGACAGCTCTTTCTTGATTCTATGGGTGGTGGTGCATGGCCGTTCTTAGTTGGTGGAGTGATTTGTCTGGTTAATTCCGTTAACGAACGAGACCTCCGCCTGCTAAATAGTGACAGTTTTGCTTGCAAAGCTGGTTTTATCTTCTTAGAGGGACACTCGGTTTTTAGCCGAGGGAAGTTGGAGGCAATAACAGGTCTGTGATGCCCTTAGATGTTCTGGGCCGCACGCGCGCTACACTGATGCATTCAACGAGTTTATAACCTGGATGGAGACGTCTGGGTAATCTTTTAAACCTGCATCGTGATGGGGATAGATCTTTGCAATTATAGATCTTCAACGAGGAATTCCTAGTAAACGCGAGTCATCAGCTCGCATTGATTACGTCCCTGCCCTTTGTACACACCGCCCGTCGCACCTACCGATTGGATGGTCCGGTGAGAATTTCGGATTGTAGCATCGTCGCTTTCATTAGGGATAATGCCGTGAGAAGTTATTCAAACCTTACCATCTAGAGGAAGGTGAAGTCGTAACAAGGTTTCCGTAGGTGAACCTGCGGAAGGATC</t>
  </si>
  <si>
    <t>ASV_1083</t>
  </si>
  <si>
    <t>6461c3ba8f29d1633e3c1664e07649d8cce28632</t>
  </si>
  <si>
    <t>08d01ec89f_61_3439</t>
  </si>
  <si>
    <t>Chrysochromulina andersonii _97.4</t>
  </si>
  <si>
    <t>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TAATCTAGTCCTGTAATTGGAATGAGTACAATTTACATCTCTTCACGAGGATCAATTGGAGGGCAAGTCTGGTGCCAGCAGCCGCGGTAATTCCAGCTCCAATAGCGTATATTAAAGTTGTTGCAGTTAGAACGCTCGTAGTCGGATTTCGGGGCGGGCCGACCGGTCTGCCGATGGGTATGCACTGGCCGGCGCGTCCTTCCTCTCGGAGACCGTTCCTACTCTTAACTGAGCGGGAGCGGGAGACGGG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CGGAGGATGTTCACATATTGACTCCTTCGGCACCTTACGGGAAACTAAAGTCTTTGGGTTCCGGGGGGAGTATGGTCGCAAGGCTGAAACTTAAAGGAATTGACGGAAGGGCACCACCAGGTGTGGAGCCTGCGGCTTAATTTGACTCAACACGGGGAAACTTACCAGGTCCAGACATTGTGAGGATTGACAGATTGAGAGCTCTTTCTTGATTCGATGGGTGGTGGTGCATGGCCGTTCTTAGTTGGTGGAGTGATTTGTCTGCTTAATTGCGTTAACGAACGAGACCTTAGCCTGCTAAATAGTGACGCGAACACTTCGTTCGCGGCCACTTCTTAGAGGGACAACTTGTCTTCAACAAGTGGAAGTTTGAGGCAATAACAGGTCTGTGATGCCCTTAGATGTTCTGGGCCGCACGCGCGCTACACTGATGCACTCAACGAGTCTCACCTTGACCGAAAGGTCCGGGAAACCTTCGAACTTGCATCGTGATGGGGATAGATTATTGCAACTATTAATCTTCAACGAGGAATACCTAGTAGGCGCGTGTCATCAGCGCGCGTCGATTACGTCCCTGCCCTTTGTACACACCGCCCGTCGCTCCTACCGATTGAATGATCCGGTGAGGCCCCCGGATTGTGTGCGCGGCTCTGGTTCGCTAGACTGCGCGCGCGAGAAGCTGTCCAAACCTTATCATTTAGAGGAAGGAGAAGTCGTAACAAGGTTTCCGTAGGTGAACCTGCGGAAGGATC</t>
  </si>
  <si>
    <t>ASV_2152</t>
  </si>
  <si>
    <t>5122386cd9359c831dfad8024c5530c35bd79eeb</t>
  </si>
  <si>
    <t>64c26f078b_6_187</t>
  </si>
  <si>
    <t>Prymnesium kappa_99.7</t>
  </si>
  <si>
    <t>ACCTGGTTGATCCTGCCAGTAGTCATATGCTTGTCTCAAAGATTAAGCCATGCATGTCTAAGTATAAGCGACTTGTACTGTGAAACTGCGAATGGCTCATTAAATCAGTTATGGTTTATTTGATGGTACCTTACTACTTGGATACCCGTAGTAATTCTAGAGCTAATACATGCAGGAGGTCCCGACTTC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GGGCCGCCGGTCTGCCGATGGGTATGCACTGGCGGTCGCGTCCTTCCTTCCGGAGACTGGCCCTACTCTTAACTGAGCGGGG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CGGATGTCCTTCTTTGACTCCGTCA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</t>
  </si>
  <si>
    <t>ASV_982</t>
  </si>
  <si>
    <t>bb4c0c28d07169aed588665d43a837200ad005be</t>
  </si>
  <si>
    <t>90210faa94_51_8022</t>
  </si>
  <si>
    <t>Haptolina fragaria_95.5</t>
  </si>
  <si>
    <t>TAGTCATATGCTTGTCTCAAAGATTAAGCCATGCATGTCTAAGTATAAGCGACTTGTACTGTGAAACTGCGAATGGCTCATTAAATCAGTTATGGTTTATTTGATGGTACCTTACTACTTGGATACCCGTAGTAATTCTAGAGCTAATACATGCAGGACTTCCCGACTTCCGAAGGGATGTATTTATTAGATAAGAGACCAACTCGGGCTTGCCCGGTTGCGTGCTGAGTCACAATAACTGCTCGAATCGCAGTGGCCTTG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AAACGCTCGTAGTCGGATTTCGGGGCGGGCCTGCCGGTTTGCCGATGGGTATATACTGGTGGGTGCGTCCTTCCTTCCGGAGACCGCGCCTCCTCTTAACTGAGCGGGCGTGGGAGACGGATCGTTTACTTTGAAAAAATCAGAGTGTTTCAAGCAGGCATTTCGCTTTTGCATGGATTAGCATGGGATAATGAAATAGGACTTTGGTGCTATTTTGTTGGTTTCGAGCACCGAAGTAATGATTAACAGGGACAGTCAGGGGCACTCGTATTCCGCAGAGAGAGGTGAAATTCTCAGACCCGCGGAAGACGAACCACTGCGAAAGCATTTGCCAGGGATGTTTTCACTGATCAAGAACGAAAGTTAGGGGATCGAAGACGATCAGATACCGTCGTAGTCTTAACCATAAACGATGCCAACTAGGGATTCCGAGATGTTGTATTTGACTCTCGGAGCACCTTACGGGAAACTAAAGTCTTTGGGTTCCGGGGGGAGTATGGTCGCAAGGCTGAAACTTAAAGGAATTGACGGAAGGGCACCACCAGGAGTGGAGCCTGCGGCTTAATTTGACTCAACACGGGGAAACTTACCAGGTCCAGACATTGTGAGGATTGACAGATTGAGAGCTCTTTCTTGATTCGATGGGTGGTGGTGCATGGCCGTTCTTAGTTGGTGGAGTGATTTGTCTGGTTAATTCCGTTAACGAACGAGACCTTAGCCTATTAAATAGTAACGCGAACTCTTTGTTGGCGGCGTACTTCTTAGAGGGACAACTTGTCTTCAACAAGTGGAAGTTTGAGGCAATAACAGGTCTGTGATGCCCTTAGATGTTCTGGGCCGCACGCGCGCTACACTGATGCACTCAACGAGTCTGCCTTGTCCGAGAGGTCCGGGTAACCTTTTGAAATTGCATCGTGATGGGGATAGATTATTGCAATTATTAATCTTCAACGAGGAATTCCTAGTAAGGCCGTGTCATCAGCGCGGCCTGATTACGTCCCTGCCCTTTGTACACACCGCCCGTCGCTCCTACCGATTGAATGATCCGGTGAGGTCTTTGGACTGAGGCGACGCAGACGGTTCGCCGCCCGCGACGCCCTGGGAAGCTGCCCAAACCTTATCATTTAGAGGAAGGAGAAGTCGTAACAAGGTTTCCGTAG</t>
  </si>
  <si>
    <t>ASV_1136</t>
  </si>
  <si>
    <t>92eb5a5f735be61e9baa0bd4890e10e5d8f6b558</t>
  </si>
  <si>
    <t>df6abdb624_35_1932</t>
  </si>
  <si>
    <t>Ochromonas villosa_96.8</t>
  </si>
  <si>
    <t>AACCTGGTTGATTCTGCCAGTAGCATACGCTTGTCTCAAAGATTAAGCCATGCATGTCTAAGTATAAACAAATCTATACTGTGAAACTGCGAATGGCTCATTATATCAGTTATAGTTTATTTGATGGTCTTTGCTACTTGGATAACCGTAGTAATTCTAGAGCTAATACATGCATCAAACCCCGACTTCTGGAAGGGGTGTATTTATTAGATGGAAACCAATGCGGGGAAACCCGGTATATGGTGATTCATAATAACTTTCGGATCGATCTTCGGATCGATGCATCATTCAAGTTTCTGCCCTATCAGCTTTGGATGGTAGGGTATTGGCCTACCATGGCTTTAACGGGTAACGGAGAATTAGGGTTCGATTCCGGAGAGGGAGCCTGAGAAACGGCTACCACATCCAAGGAAGGCAGCAGGCGCGTAAATTACCCAATCCTGACACAGGGAGGTAGTGACAATAAATAACAATGCTGGGCTTTTCTAAGTCTGGCAATTGGAATGAGAACAATTTAAATCCCTTATCGAGGATCAATTGGAGGGCAAGTCTGGTGCCAGCAGCCGCGGTAATTCCAGCTCCAATAGCGTATACTAAAGTTGTTGCAGTTAAAAAGCTCGTAGTTGAATTTCTGGTCTCGGACAGCGGTCTGCCTCAAACGAGGTACGCACCACCTGTTCAGGTCCATCCTCGGAGAAAACATGCCTGTGATTCAGTTCATGGGTATGGGATCTTCGTCATTTACTGTGAGCAAAATAGAGTGTTCAAAGCAGGCTTATGCCGTTGAATACATTAGCATGGAATAATAAAATAAGACCTTGGTCTATTTTGTTGGTTTGTACTCCAAGGTAATGATTAATAGGGATAGTTGGGGGTATTCGTATTCAATTGTCAGAGGTGAAATTCTTGGATTTATGGAAGACGAACTACTGCGAAAGCATTTACCAAGGATGTTTTCATTAATCAAGAACGAAAGTTAGGGGATCGAAGATGATTAGATACCATCGTAGTCTTAACCATAAACTATGCCGACTAGGGATTGGTGGACGTTCGTTATGACTTCATCAGCACCTTATGAGAAATCAAAGTCTTTGGGTTCCGGGGGGAGTATGGTCGCAAGGCTGAAACTTAAAGAAATTGACGGAAGGGCACCACCAGGAGTGGAGCCTGCGGCTTAATTTGACTCAACACGGGGAAACTTACCAGGTCCAGACATAGTGAGGATTGACAGATTGATAGCTCTTTCTTGATTCTATGGGTGGTGGTGCATGGCCGTTCTTAGTTGGTGGAGTGATTTGTCTGGTTAATTCCGTTAACGAACGAGACCCCCGCCTGCTAAATAGTCTTACCAATGCCTAGCATTGGTGTAGTCTTCTTAGAGGGACTTTTGGTGACTAACCAAAGGAAGTTGGGGGCAATAACAGGTCTGTGATGCCCTTAGATGTCCTGGGCCGCACGCGCGCTACACTGACACACGCAGCGAGTCTTCCTTGTCCGAAAGGTCTGGGTAATCTTGTAAATGTGTGTCGTGATAGGGATAGATTATTGCAATTATTAATCTTGAACGAGGAATTCCTAGTAAATGCAAGTCATCAGCTTGTGTTGATTACGTCCCTGCCCTTTGTACACACCGCCCGTCGCACCTACCGATTGAATGGTTCGGTGAAACTTTCGGACCACAGCTTAGACACCTTTGGTGACCGAGCAGTGGGAAGTTATTTAAACCTCATCATTTAGAGGAAGGTGAAGTCGTAACAAGGTTTCCGTAGGTGAACCTGCGGAAGGATCATTA</t>
  </si>
  <si>
    <t>ASV_1067</t>
  </si>
  <si>
    <t>9ece5db5d1f374f2c56ab5f90831277404d82a19</t>
  </si>
  <si>
    <t>52e90aa917_77_4372</t>
  </si>
  <si>
    <t>Ochromonas triangulata_90.7</t>
  </si>
  <si>
    <t>CTGCCAGTAGCATACGCTTGTCTCAAAGATTAAGCCATGCATGTCTAAGTATAAAAATTTCTATATTTGAAACTGCGAATGGCTCATTATATCAGTTATAGTTTATTTGATGATCCCACTATATGGATAACCGTAGTAATTCTAGAGCTAATACATGCACCTAACCCCGACTCACGAAGGGGTGTGTTTATTAGATTGAAACCAATGCGAGTTTACTCGGATTTATGGTGATTCATAATAACTTTCAGATCGGCTCTGCCGATGCATCATTCAAGTTTCTGCCCTATCAGCTCTGGATGGTAGGGTATTGGCCTACCATGGCTTTAACGGGTAACGGAGAATTAGGGTTCGATTCCGGAGAGGGAGCCTGAGAAACGGCTACCACATCCAAGGAAGGCAGCAGGCGCGTAAATTACCCAATCCTGACACAGGGAGGTAGTGACAATAAATAACATTGCAGGGCTTTTCTAAGTCTTGCACTCGGAATGAGAACAATTTAAACCCCTTATCGAGGATCAATTGGAGGGCAAGTCTGGTGCCAGCAGCCGCGGTAATTCCAGCTCCAATAGCGTATACTAAAGTTGTTGCAGTTAAAAAGCTCGTAGTTGAATTTCTAGGTGTAAAAGGCGGTCCTGCCTTCAGGGTTGTGTACCTCCCTTTTACGCCTATCCTCGTAGTGAACATGTATTCTTTTTATTAAGCGTATATGGGACCTGCGTCATTTACTGTGAGCAAAATAGAGTGTTCAAAGCAGGCTTTATGCCGTTGAATATATTAGCATGGAATAATAAGATATGACTTCTGTCTTTCTTGTTGGTTTGTATTCGGAAGTAATGATTAATAGGGATAGTTGGGGGTATTCGTATTCAATTGTCAGAGGTGAAATTCTTAGATTTATGGAAGACGAACTACTGCGAAAGCATTTACCAAGGATGTTTTCATTAATCAAGAACGAAAGTTAGGGGATCGAAGATGATTAGATACCATCGTAGTCTTAACCATAAACTATGCCGACTAGGGATTGGCAGTGTTCGTTATGACTCTG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CATGGTATCCTTAGGCTACTTTCGTGCTTCTTAGAGGGACTTTTACTGACTAAGTGAAGGAAGTTGGGGGCAATAACAGGTCTGTGATGCCCTTAGATGTCCTGGGCCGCACGCGCGCTACACTGACACACGCATCAAGTTTCGCTTATCTGAAAAGAATGGCAAATCTCTAAATGTGTGTCGTGATAGGGATAGATTATTGCAATTATTAATCTTGAACGAGGAATTCCTAGTAAACGCAAGTCATCAGCTTGCATTGATTACGTCCCTGCCCTTTGTACACACCGCCCGTCGCACCTACCGATTGAATGACTCGGTGAAATCTACGGACTACAGCCTACCAGCCCTCGGGCAGGAGGTCGTGGGAAGTAAATTAAACCTCGCCATTTAGAGGAAGGTGAAGTCGTAACAAGGTTTCCGTAGGT</t>
  </si>
  <si>
    <t>ASV_1237</t>
  </si>
  <si>
    <t>dac15e87788ff6b472448fdb29468007e971420e</t>
  </si>
  <si>
    <t>d8e7b0802d_52_1585</t>
  </si>
  <si>
    <t>Chaetoceros tenuissimus</t>
  </si>
  <si>
    <t>AACCTGGTTGATT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</t>
  </si>
  <si>
    <t>ASV_81</t>
  </si>
  <si>
    <t>08e9c873287d59e1ed8227a235afd87b95ced57c</t>
  </si>
  <si>
    <t>8b69e4968a_182_227091</t>
  </si>
  <si>
    <t>TAGTCATATGCTTGTCTCAAAGGTTAAGCCATGCATGTCTAAGTTTAAATATTAAACAGTGAAACTGCGAATGGCTCATTAAATCAGTTATAGTTTATTTGATGGTACTCTTACTCGGATAACCGTAGTAATTCTAGAGCTAATACGTGCTTAAATCCCGACTCACGAAGGGACGTGTTTATTAGATAAAAGACCAGCCACCCTCGGGTGTTTTGCGGTGAATCATGATAACTTTACGGATCGCATGGCCTCGCGCCGGCGATGTTTCATTCAAATTTCTGCCCTATCAACTTTCGATGGTAGGATAGAGGCCTACCATGGTGGTAACGGGTGACGGAGAATTAGGGTTCGATTCCGGAGAGGGAGCCTGAGAAACGGCTACCACATCCAAGGAAGGCAGCAGGCGCGCAAATTACCCAATCCTGACACAGGGAGGTAGTGACAATAAATAACAATACCGGGCTTTTTCAAGTCTGGTAATTGGAATGAGAACAATCTAAACCCCTTAACGAGGATCCATTGGAGGGCAAGTCTGGTGCCAGCAGCCGCGGTAATTCCAGCTCCAATAGCGTATATTTAAGTTGTTGCAGTTAAAAAGCTCGTAGTTGGATTTCGGGTGGCGTGGGCCGGTCCGCCGTTGCGGTGTGCACTGGCCGGCGCCTCCTTTCTGTCGAGGACGCAGTTCTGGCCTTCGTTGGCTGGGGTGCGGAGTCGGCGTGGTTACTTTGAAAAAATTAGAGTGTTCAAAGCGGGCTTACGCTTGAATATATTAGCATGGAATAACACTATAGGACTCCGCTCCTATTCTGTTGGTCTTCGGGACTGGAGTAATGATTAAGAGGAACAGTTGGGGGCATTCGTATTTCATTGTCAGAGGTGAAATTCTTGGATTTATGAAAGACGAACTTCTGCGAAAGCATTTGCCAAGGATGTTTTCATTAATCAAGAACGAAAGTTGGGGGCTCGAAGATGATTAGATACCATCCTAGTCTCAACCATAAACGATGCCGACTAGGGATTGGCGGACGTTTGAATGACTCCGCCAGCACCTTATGAGAAATCAAAGTCTTTGGGTTCCGGGGGGAGTATGGTCGCAAGGCTGAAACTTAAAGGAATTGACGGAAGGGCACCACCAGGAGTGGAGCCTGCGGCTTAATTTGACTCAACACGGGGAAACTTACCAGGTCCAGACATAGTAAGGATTGACAGATTGATAGCTCTTTCTTGATTCTATGGGTGGTGGTGCATGGCCGTTCTTAGTTGGTGGAGTGATTTGTCTGGTTAATTCCGTTAACGAACGAGACCTCAGCCTGCTAAATAGTCCCAGTCATCCTCGATGGCTGGCTGACTTCTTAGAGGGACTATGTGCGATTAGCACATGGAAGTTTGAGGCAATAACAGGTCTGTGATGCCCTTAGATGTTCTGGGCCGCACGCGCGCTACACTGACGGATTCACTGAGTCTATCCTTGGCCGAAAGGTCCGGGTAATCTTGAAATTCCGTCGTGATGGGGCTAGATTATTGCAATTATTAATCTTCAACGAGGAATTCCTAGTAAGCGTGATTCATCAGATCGCGTTGATTACGTCCCTGCCCTTTGTACACACCGCCCGTCGCTCCTACCGATTGAATGGTCCGGTGAAGCGTTCGGATGGATGCGTGCTTGCGGTCCGCCGCGGGCGTGCGTCCAGAAGTTCGTTAAACCTTATCATTTAGAGGAAGGAGAAGTCGTAACAAGGTTTCCGTAGGTGAACCTGCGGAAGGATCATTA</t>
  </si>
  <si>
    <t>Chrysochromulina leadbeateri_98.6</t>
  </si>
  <si>
    <t>ATGCCATTAGATGTTCTGGGCCGCACGCGCGCTACACTGATGCACTCAACGAGTCTCCACCTTGACCGAAAGGTCCGGGAAATCTTCGAACTTGCATCGTGATGGGGATAGATTATTGCAACTATTAATCTTCAACGAGGAATACCTAGTAGGCGCATGTCATCAGCGTGCGTCGATTACGTCCCTGCCCTTTGTACACACCGCCCGTCGCTCCTACCGATTGAATAATCCGGTGAGTTTTTTGGACCCTAGCAACGGCTTTGGTTCGCCAAACTGATGTTGGGGGAAGATACGCAAACCTTATTATTTAGAGGAAGGAGAAGTCGTAACAAGGTTTCCGTAGGTGAACCTGCGGAAGGATC</t>
  </si>
  <si>
    <t>No V4 (1435-1796)</t>
  </si>
  <si>
    <t>GCCAGCAGCCGCGGTAATTCCAGCTCCAATAGCGTATATTTAAGTTGTTGCAGTTAAAAAGCTCGTAGTTGGATTTCGGGTGTCATCTGTCGGTCCGTCGTTTCGATGTGCACTGACGGGCGTCATCTTTCTGTCGAGGACGCGCTCCTGTCCTTAACTGGTCGGGACGTGGAGTCGGCGAGGTTACTTTGAAAAAATTAGAGTGTTCAAAGCGGGCTTACGCTTGAATATATTAGCATGGAATAACACTATAGGACTCCTGTCCTATTTTGTTGGTCTTCGGGACGGGAGTAATGATTAAGAGGAACAGTTGGGGGCATTCGTATTTCATTGTCAGAGGTGAAATTCTTGAATTTATGAAAGACGAACTTCTGCGAAAGCATTTGCCAAGGATGTTTTCATTAATCAAGAACGAAAGTTGGGGGCTCGAAGATGATTAGATACCATCCTAGTCTCAACCATAAACGATGCCGACTAGGGATTGGCGGATGTTGATTTGATGACTTCGCCAGCACCTTATGAGAAATCAAAGTTTTTGGGTTCCGGGGGGAGTATGGTCGCAAGGCTGAAACTTAAAGGAATTGACGGAAGGGCACCACCAGGAGTGGAGCCTGCGGCTTAATTTGACTCAACACGGGGAAACTTACCAGGTCCAGACATAGTAAGGATTGACAGATTGAGAGCTCTTTCTTGATTCTATGGGTGGTGGTGCATGGCCGTTCTTAGTTGGTGGAGTGATTTGTCTGGTTAATTCCGTTAACGAACGAGACCTCAGCCTGCTAAATAGTCACACGATTTCTGAAATCGTGGCGGACTTCTTAGAGGGACTATGTGCGATTAGCACATGGAAGTTTGAGGCAATAACAGGTCTGTGATGCCCTTAGATGTTCTGGGCCGCACGCGCGCTACACTGACGAATTCAACGAGTTTTCCTTGGCCGGAAGGTCCGGGTAATCTGCGAAATTTCGTCGTGATGGGGATAGATTATTGCAATTATTAATCTTCAACGAGGAATTCCTAGTAAGCGCGAGTCATCAGCTCGCGTTGATTACGTCCCTGCCCTTTGTACACACCGCCCGTCGCTCCTACCGATTGGATGGTCCGGTGAAGCGTTCGGATGCGTGGGAAGAGGCGGTCCGCCGCCCCCTCTCATGCAGAAGTTCGTTAAACCTTATCATCTAGAGGAAGGAGAAGTCGTAACAAGGTTTCC</t>
  </si>
  <si>
    <t>abf0c20e0ad88462190ab6c0f15d92d77578a094</t>
  </si>
  <si>
    <t>Bolidophyceae</t>
  </si>
  <si>
    <t>ACCTGGTTGATTCTGCCAGTAGTCATACGCTCGTCTCAAAGATTAAGCCATGCATGTCTAAGTATAAACGCTTTATACTGTGAAACTGCGAATGGCTCATTATATCAGTTATAGTTTATTTGATAATCTCTTACTACTTGGATAACCGTAGTAATTCTAGAGCTAATACATGCGTAAACACCCAACCTCTGGACGGGTGGTATTTATTAGATTGAAACCAATATGCTTCGGCATTTTTGTGGTGATTCATAATAACTTTGCGGATCGCATGGCCTTGAGCCGGCGACAGATCATTCAAGTTTCTGCCCTATCAGCTTTGGATGGTAGGGTATTGGCCTACCATGGCTTTAACGGGTAACGGAGAATTAGGGTTCGATTCCGGAGAGGGAGCCTGAGAGACGGCTACCACATCCAAGGAAGGCAGCAGGCGCGTAAATTACCCAATCCTGACACAGGGAGGTAGTGACAATAAATAACAATGCCGGGCCTTTTTAGGTCTGGCAATTGGAATGAGAACAATTTAAATCCCTTATCGAGGATCAATTGGAGGGCAAGTCTGGTGCCAGCAGCCGCGGTAATTCCAGCTCCAATAGCGTATATTAAAGTTGTTGCAGTTAAAAAGCTCGTAGTTGGATTTCTGGTGACACGGCGTGGTCGTCTCAATGAGTCTGTACCGTCGCATGTGTCGCCATCCTTGGTTAAAACTTGTCTGGCATTAGGTTGTCGGGCTTGGGATAGCCATCGTTTACTGTGAAAAAATTAGAGTGTTCAAAGCAGGCTTATGCCGTTGAATACATTAGCATGGAATAATAAGATAAGACCCAGGTTCTATTTTGTTGGTTTGCGTACCTAGGTAATGATTAATAGGGACAGTTGGGGGTATTTGTATTCCGTTGTCAGAGGTGAAATTCTTGGATTTACGGAAGACAAACTACTGCGAAAGCATTTACCAAGGATGTTTTCATTAATCAAGAACGAAAGTTAGGGGATCGAAGATGATTAGATACCATCGTAGTCTTAACCATAAACTATGCCGACTAGGGATTGGCGGTCGTTTTTCCGACTCCGTCAGCACCTTATGAGAAATCAAAGTCTTTGGGTTCCGGGGGGAGTATGGTCGCAAGGCTGAAACTTAAAGAAATTGACGGAAGGGCACCACCAGGAGTGGAGCCTGCGGCTTAATTTGACTCAACACGGGAAAACTTACCAGGTCCAGACATAGTAAGGATTGACAGATTGAGAGCTCTTTCTTGATTCTATGGGTGGTGGTGCATGGCCGTTCTTAGTTGGTGGAGTGATTTGTCTGGTTAATTCCGTTAACGAACGAGACCCCCGCCTGCTAAATAGTTGGCGTAATGAATTTCATTGCGTACATCTTCTTAGAGGGACTTTGCGTGACTAACGCAAGGAAGTTGGGGGCAATAACAGGTCTGTGATGCCCTTAGATGTCCTGGGCCGCACGCGCGCTACACTGATGCATTCAACGAGTTTATAACCTTGACCGAGAGGTCTGGGTAATCTTTTAAACGTGCATCGTGATAGGGATAGATTATTGCAATTATTAATCTTGAACGAGGAATTCCTAGTAAACGCAGTTCATCAGACTGCATTGATTACGTCCCTGCCCTTTGTACACACCGCCCGTCGCACCTACCGATTGAATGGTCCGGTGAAATTTCGGGACTGACTTTAGGTTGATTTATTTCGACTTAAGGTTGGGAACTTACTTAAACCTTATCATTTAGAGGAAGGTGAAGTCGTAACAAGGTTTCCGTAGGTGAACCTGCGGAAGGATC</t>
  </si>
  <si>
    <t>ASV_674</t>
  </si>
  <si>
    <t>0a58044497ffccaf5cfe3313767399b44e35cb38</t>
  </si>
  <si>
    <t>41590dca75_36_1727</t>
  </si>
  <si>
    <t>Mallomonas annulata_93.1</t>
  </si>
  <si>
    <t>ACCTGGTTGATTCTGCCAGTAGCATACGCTTGTCTCAAAGATTAAGCCATGCATGTCTAAGTATAAACAAATCTATACTGTGAAACTGCGAATGGCTCATTATATCAGTTATAGTTTATTTGATGGTTCTTGCTACTTGGATAACCGTAGTAATTCTAGAGCTAATACATGCACACAGTCCCGAC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CCGGCTTCAAGTAAGTTTGTGGCAGGCGCTTCGG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ATTTA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TACGGCTTTTGGACCCTCGGGTCCTTTGGCCGTGGAAAGTTATTTAAACCTCAACATTTAGAGGAAGGTGAAGTCGTAACAAGGTTTCCGTAGGTGAACCTGCGGAAGGATC</t>
  </si>
  <si>
    <t>ASV_1385</t>
  </si>
  <si>
    <t>39249f93fee518bfe54147d0b163deb3edd0b85f</t>
  </si>
  <si>
    <t>8be99e550e_16_735</t>
  </si>
  <si>
    <t>Centroplasthelida</t>
  </si>
  <si>
    <t>TACCTGGTTGATCCTGCCAGTAGTCATATGCTTGTCTCAAAGATTAAGCCATGCATGTCTAAGAATAAGCCCCAGAATGGTGAATCTGCGAATGGCTCATTAAATCAGTTATTGTTTATTTGATGGTACCTTACTACATGGATATCCGTAGTAATTCTAGAGTTAATACATGCGTCGAGCCCCGACTTTTGAAGGGGTGCATTTATTAGTTTCAAACCATCGCCTTTTGGCTTTGATGGTGAGTCATGATAACTGAGCGAATCGAATGGCCTTGTGCTGTCGATGCTTCATTCAAATTTCTGCCCTATCAGCTTTCGATGGTAGGATCTTGGCCTACCATGGCTATAACGGGTAACGGGGAATTAGGGTTCGGTTCCGGAGAGGGAGCTTGAGAAACGGCTAACACATCCAAGGATGGCAGCAGGCGCGCAAATTACCCAAACCCCACACGG</t>
  </si>
  <si>
    <t>No V4 (1-454)</t>
  </si>
  <si>
    <t>TAGTCATATGCTTGTCTCAAAGATTAAGCCATGCATGTCTAAGAATAAGCCCCAGAATGGTGAATCTGCGAATGGCTCATTAAATCAGTTATTGTTTATTTGATGGTACCTTACTACATGGATATCCGTAGTAATTCTAGAGTTAATACATGCGTCGAGCCCCGACTTTTGGAGGGGTGCATTTATTAGTTTCAAACCATCGCCTTTTGGCTTTGATGGTGAGTCATGATAACTGAGCGAATCGAATGGTCTTGCACCGTCGATGCTTCATTCAAATTTCTGCCCTATCAGCTTTCGATGGTAGGATCTTGGCCTACCATGGCTATAACGGGTAACGGGGAATTAGGGTTCGGTTCCGGAGAGGGAGCTTGAGAAACGGCTACCACATCCAAGGATGGCAGCAGGCGCGCAAATTACCCAATCCCGACACGGGGAGGTAGTGACAATAAATAGCAATGCTAGACTAATTTTAGTCCGGCAATTGGAATGAGAGCAATTTAAACCAATCATCGAGGAGCCATTGGAGGGCAAGTCTGGTGCCAGCAGCCGCGGTAATTCCAGCTCCAATAGCGTATATTAAAGTTGTTGCAGTTAAAAAGCTCGTAGTCTGATTTTTGGGGGGCATGGCGCGTCCAGGCTATTGGTCTGCGCACGGCGCTGTGTTTGCCATTACCTTCGGAGGAGGCGTAGTGCTATTAGTTTAGTGGTGCGTTTATTCCGATAGTTTACTTTGAGAAAAATAGAGTGTTCAAAGCAGGCGATTGCCTTGAATACATTAGCATGGGATAATGGAATAGGACGTTGGTTCTATTTTGATGGTTTACGGACCGACGTAATGATTAATAGGGACAGTTGGGGACATTTGTATTCCATGGCTAGAGGTGAAATTCTTGGATTCATGGAAGACAAACTACTGCGAAAGCATTTGTCAAAGATGTTTTCATTGATCAAGAACGAAAGTTAGGGGAGCAAAGACGATCAGATACCGTCGTAGTCTTAACCATAAACGATGCCGACTAGGGATCGGTGGGCGTTAGTTTGATGACTCCATCGGCACCTCATGGGAAACCAAAGTTTTTGGGTTCCGGGGGGAGTATGGTCGCAAGGCTGAAACTTAAAGGAATTGACGGAAGGGCACCACCAGGAGTGGAGCCTGCGGCTTAATTTGACTCAACACGGGAAAACTCACCAGGTCCAGACATGGTAAGGATTGACAGATTGAGAGCTCTTTCTTGATTCCATGAAAGGTGGCGCATGGCCGTTCTTAGTTGGTGGAGTGATTTGTCTGGTTAATTCCGTTAACGAACGAGACCTTAACCTGCTAACTAGTCACGTCAATTGTCATGATTGGCGGCAGCACTTCTTAGAGGGACAAGCTGTTTCCAGCAGCTGGAAGTTTGAGGCAATAACAGGTCTGTGATGCCCTTAGATGTCCTGGGCTGCACGCGCGCTACACTGACGAACTCAACGAGCTTATCACCTTGGCAGAGATGTCTGGGTAATCTTTTGAAAGTTCGTCGTGCTGGGGATAGATGATTGTAATTATTCGTCTTGAACGAGGAATTCCTAGTAAGTGTGAGTCATCAGCTCGCGCTGATTACGTCCCTGCCCTTTGTACACACCGCCCGTCGCTCCTACCGATTGAATGGTCCGGTGAGGTTCTCGGATTTTTTCTATTGTTTGGTCCGCTAAACGATTGAAGAGAGAAGTTACCCAAACCTTACCATTTAGAGGAAGGAGAAGTCGTAACAAGGTTTCCGTAG</t>
  </si>
  <si>
    <t>ASV_3366</t>
  </si>
  <si>
    <t>a6eb607513_2_301</t>
  </si>
  <si>
    <t>Bathycoccus prasinos</t>
  </si>
  <si>
    <t>TACCTGGTTGATCCTGCCAGTAGTCATATGCTTGTCTCAAAGATTAAGCCATGCATGTCTAAGTATAAGCGTTATACTGTGAAACTGCGAATGGCTCATTAAATCAGCAATAGTTTATTTGGTGGTGTTTACTACTCGGATAACCGTAGTAATTCTAGAGCTAATACGTGCGTAAATCCCGACTTTTGAAGGGACGTATTTATTAGATAAAGACCGACCTCGTTTTGCGGTGAATCATGATAACTTTACGGATCGCATGGGCTTGTCCCGGCGATGTTCCATTCAAATTTCTGCCCTATCAACTTTCGATGGTAGGATAGAGGCCTACCATGGTGGTAACGGGTGACGGAGAATTAGGGTTCGATTCCGGAGAGGGAGCCTGAGAAACGGCTACCACATCCAAGGAAGGCAGCAGGCGCGCAAATTACCCAATCCTGACACAGGGAGGTAGTGACAATAAATAACAATACCGGGCTTTTTCAAGTCTGGTAATTGGAATGAGAACAATCTAAATCCCTTAACGAGGATCCATTGGAGGGCAAGTCTGGTGCCAGCAGCCGCGGTAATTCCAGCTCCAATAGCGTATATTTAAGTTGTTGCAGTTAAAAAGCTCGTAGTTGGATTTTGGTTAAGAGGGCGCGGTCGGCCGTTTGGTCTGTACTGCGTTGTCTTGACTTCCTGATGAGGACATGCTCTTGGTTAACGCTGAGACATGGAGTCATCG</t>
  </si>
  <si>
    <t>Little V4 (154 bp)</t>
  </si>
  <si>
    <t>Chaetoceros muellerii _99.2</t>
  </si>
  <si>
    <t>ACCTGGTTGATTCTGCCAGAAGTCATACGCTCGTCTCAAAGATTAAGCCATGCATGTCTAAGTATAAAAACTTTTTACACTTGAAACTGCGAATGGCTCATTATATCAGTTATAGTTTCTTTGATAGTCCCTACTACTTGGATACCTGTAGTAATTCTAGAGCTAATACATGCTTCAATGCCCATTTCGGGTTGTATTTATTAGATTGAAACCAACAGCCTTCGGGTTTGCTCTGGTGATTCATAATAACTAAGCGAATCGCATGCCTTTGGCGGCGATGGATCATTCAAGTTTCTGCCCTATCAGCTCTGACGGTAATGTATTGGATTACCGTGGCTATAACGGGTCACGGGGGATTAGGGTTTGATTCCGGAGAGGGAGCCTGAGAGACGGCTACCACATCCAAGGAAGGCAGCAGGCGCGTAAATTACCCAATCTCGACACGAGGAGGTAGTGACAATAAATAACAATGCCGGGCTTTTGGTCTGGCAATTGGAATGAGAACAATTTAAATCCCTTATCGAGGATCAATTGGAGGGCAAGTCTGGTGCCAGCAGCCGCGGTAATTCCAGCTCCAATAGCGTATATTTTAGTTGTTGCAGTTAAAAAGCTCGTAGTTGAATTTCTGGTGAGCGAGAGCGGTCCGATCAATGATTGGTGCTTGCTTTCGCTGGCCATCCTTGGGTTTAGCCAGTCTGGCATTAAGTTGTCGGGCTGGGGATGCCCATCGTTTACTGTGAAAAAATTAGAGTGTTCAAAGCAGACTTATGTCGTTGAATATATTAGCATGGAATAATAAGATAGGACTACAGTGCTATTTTGTTGGTTTGCGCACCGTGGTAATGATGAATAGGGACAGTTGTGGGTATTCGTATTCACTTGTAAGAGGTGAAATTCTTAGATTAAGGGAAGACGAACTACTGCGAAAGCATTTACCAAGGATGTTTTCATTAATCAAGAACGAAAGTGTGGGGATCGAAGATGATTAGATACCGTCGTAGTCTACACCATAAACTATGCCGACTCAGGATGGGTGGGGAACTTAACCCTCA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CTTATGATTTTCATAGGCGGCTGTTTCTTAGAGGGACATGGAGTATCAAACTCCAGGAAGATTGGGGCAATAACAGGTCTGTGATGCCCTTAGATGTTCTGAACCGCACGCGTGTTACAATGATGTGTTCAACGAGTATATAACCTTGACCGAGAGGTCTGGGAAATCTTTTTAATGCACATCGTGTTAGGGATAGATTATTGCAATTTTTAATCTTGAACGAGGAATTCCTAGTAAACGCAGATCATCAATCTGCATTGATTACGTCCCTGCCCTTTGTACACACCGCCCGTCGCACCTACCGATTGAGTGATCCGGTGAGGTCTCGGGATTGTAGTCAGTTTCCTTTATTGGGAGTTGACCGCGAGAACTTGCCCGAACCTTATCACTTAGAGGAAGGTGAAGTCGTAACAAGGTTTCCGTAGGTGAACCTGCGGAAGGATCA</t>
  </si>
  <si>
    <t>ASV_9235</t>
  </si>
  <si>
    <t>a9222750288c15746df15aa82588940eecafb8ee</t>
  </si>
  <si>
    <t>10261b9ba9_13_776</t>
  </si>
  <si>
    <t>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TAAATGTGTGTCGTGATAGGGATAGATTATTGCAATTATTAATCTTGAACGAGGAATTCCTAGTAAACGCAAGTCATCAGCTTGCATTGATTACGTCCCTGCCCTTTGTACACACCGCCCGTCGCACCTACCGATTGAATGACTCGGTGAAATCCCCGGACTATAGCCTTGACACCCTCGGGTGACTCGGCCGTGGAAAGCGGATTAAACCTCGCCATTTAGAGGAAGGTGAAGTCGTAACAAGGT</t>
  </si>
  <si>
    <t>No V4 (1152-1750)</t>
  </si>
  <si>
    <t>ACCTGGTTGATCCTGCCAGTAGTCATATGCTTGTCTCAAAGATTAAGCCATGCATGTCTAAGTATAAGCGACTATACTGTGAAACTGCGAATGGCTCATTAAATCAGTTATGGTTTATTTGATGGTACCTACTACTTGGATAACCGTAGTAATTCTAGAGCTAATACATGCAGGAAGACCCGACTTACGAAGGGTTGTATTTATTAGATAAGAAACCAATCCCCTCGGGGTTGCGTGCTGAGTCACAATAACTGCTCGAATCGCATGGCTTTACGCT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</t>
  </si>
  <si>
    <t>ASV_1470</t>
  </si>
  <si>
    <t>ef0379d579cb829f0138b5a962d3bdcbce52b496</t>
  </si>
  <si>
    <t>5309968446_9_361</t>
  </si>
  <si>
    <t>Chrysochromulina scutellum_98.5</t>
  </si>
  <si>
    <t>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ACTAGTCTTGTAATTGGAATGAGTACAATTTACATCTCTTCACGAGGATCAATTGGAGGGCAAGTCTGGTGCCAGCAGCCGCGGTAATTCCAGCTCCAATAGCGTATATTAAAGTTGTTGCAGTTAGAACGCTCGTAGTCGGATTTCGGGGCGGGCCGACCGGTCTGCCGATGGGTACGCACTGGTCGGCGCGTCCTTCCTTCCGGAGACCGTGCCTACTCTTAACTGAGCGGGGGCGGGAGACGGAACGTTTACTTTGAAAAAATCAGAGTGTTTCAAGCAGGCAGCTCGCTCTTGCATGGATTAGCATGGGATAATGAAATAGGACTTTGGTGCTATTTTGTTGGTTTCGAACACCGAAGTAATGATGAGAAGGGACAGTCAGGGGCACTCGTATTCCACCGAGAGAGGTGAAATTCTCAGACCAGTGGAAGACGAACCACTGCGAAAGCATTTGCCAGGGATGTTTTCACTGATCAAGAACGAAAGTTAGGGGATCGAAGACGATCAGATACCG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CTAGCAACGGCTTTGGTTCGCCAAACTGATGCTGGGGGAAGATACGCAAACCTTATCATTTAGAGGAAGGAGAAGTCGTAACAAGGTTTCCGTAGGTGAACCTGCGGAAGGATCA</t>
  </si>
  <si>
    <t>ASV_1442</t>
  </si>
  <si>
    <t>58c7bfe265b6957e56ef5a32d16f31affe7f5a23</t>
  </si>
  <si>
    <t>5b69d6cd86_7_514</t>
  </si>
  <si>
    <t>Chrysochromulina simplex_98.2</t>
  </si>
  <si>
    <t>ACCTGGTTGATCCTGCCAGTAGTCATATGCTTGTCTCAAAGATTAAGCCATGCATGTCTAAGTATAAGCGACTATACTGTGAAACTGCGAATGGCTCATTAAATCAGTTATGGTTTATTTGATGGTACCTACTACTTGGATAACCGTAGTAATTCTAGAGCTAATACATGCAGGAAAACCCGACTTCGGAAGGGTTGTATTTATTAGATAAGAAACCAATCCAGCTTGCTGGTTGCGTGCCGAGTCACAATAACTGCTCGAATCGCATGGCTTTACGCCGGCGATGGTTCATTCAAATTTCTGCCCTATCAGCTTTCGATGGTAGGATCGAGGCCTACCATGGCGTTTACGGGTAACGGAGAATTAGGGTTCGATTCCGGAGAGGGAGCCTGAGAAATGGCTACCACATCCAAGGAAGGCAGCAGGCGCGTAAATTGCCCGAATCCTGACACAGGGAGGTAGTGACAAGAAATAACGATACAGGGCTACTTTAGTCTTGTAATTGGAATGAGTACAATTTACATCTCTTAACGATGATCAATTGGAGGGCAAGTCTGGTGCCAGCAGCCGCGGTAATTCCAGCTCCAATAGCGTATATTAAAGTTGTTGCAGTTAGAACGCTCGTAGTCGGATTTCGGGGCGGGTCGACCGGTCTGCCGATGGGTATGCACTGGCCGACGCGTCCTTTTTGCCGGAGACCGTCCCTACTCTTAACTGAGCGGGGGCGGGAGACGGCACTTTTACTTTGAAAAAATCAGAGTGTTTCAAGCAGGCAGCTCGCTCTTGCATGGATTAGCATGGGATAATGAAATAGGACTTTGGTGCTATTTTGTTGGTTTCGAACACCGAAGTAATGATGAGAAGGGACAGTCAGGGGCACTCGTATTCCGCCGAGAGAGGTGAAATTCTCAGACCAGCGGAAGACGAACCACTGCGAAAGCATTTGCCAGGGATGTTTTCACTGATCAAGAACGAAAGTAAGGGGATCGAAGATGATCAGATACCGTCGTAGTCTTTACCATAAACCATGCCGACTAGGGATTGGAGGATGTTCACTGATTGACTCT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CGT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GTCCGGTGAGCTTTTTGGATTGTGGCAACGGCTTAGGTTCGCCTAACTGATGCCGCGAGAAGATACGCAAACCTTATCATTTAGAGGAAGGAGAAGTCGTAACAAGGTTTCCGTAGGTGAACCTGCGGAAGGATC</t>
  </si>
  <si>
    <t>ASV_2080</t>
  </si>
  <si>
    <t>2d047b19b81590ef45f8cded1d38f334ed0c54b0</t>
  </si>
  <si>
    <t>e521c586f5_13_914</t>
  </si>
  <si>
    <t>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GTCTCAGACCAGCGGAAGACGAACTACTGCGAAAGCATTTGCCAGGGATGTTTTCACTGATCAAGAACGAAAGTTAGGGGATCGAAGACGATCAGATACCGTCGTAGTCTTAACCATAAACCATGCCGACTAGGGATTGGAGGATGTTCACTGATTGAC</t>
  </si>
  <si>
    <t>ASV_703</t>
  </si>
  <si>
    <t>719d187021f390073b6e2647b5fa0546750cf186</t>
  </si>
  <si>
    <t>63d083e5ca_53_9724</t>
  </si>
  <si>
    <t>Phaeocystis jahnii_98.0</t>
  </si>
  <si>
    <t>ACCTGGTTGATCCTGCCAGTAGTCATATGCTTGTCTCAAAGATTA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GCCTGCTAAATAGTGGCGCGAACTCCTTGTTGGCGGCCAACTTCTTAGAGGGACAACTTGTCTGCAACAAGTGGAAGTTTGAGGCAATAACAGGTCTGTGATGCCCTTAGATGTTCTGGGCCGCACGCGCGCTACACTGATGCACTCAACGAGTGCCTGGACCGACAGGTCTGGGAAACCTTTTGAAATTGCATCGTGATGGGGCTAGATTATTGCAACTATTAATCTTCAACGAGGAATTCCTAGTAAGCGCATGTCATCAGCGTGCGTTGATTACGTCCCTGCCCTTTGTACACACCGCCCGTCGCTCCTACCGATTGAATGATCCGGTGAGGCCCCCGGACTGAGGCAACTGGTGTGGTTCGCCACACTGGATGTTTTGGGAAGCTGTCCAAACCTTATCATTTAGAGGAAGGAGAAGTCGTAACAAGGTTTCCGTAGGTGAACCTGCGGAAGGATCA</t>
  </si>
  <si>
    <t>762238e6576eba0cf9d8b08c50ef41e4e0c61a8f</t>
  </si>
  <si>
    <t>8050f737e4_18_1638</t>
  </si>
  <si>
    <t>TCTTAACTGAGCGGGGGCGGGAGACGGCACTATTACTTTGAAAAAATCAGAGTGTTTCAAGCAGGCAGCTCGCTCTTGCATGGATTAGCATGGGATAATGAAATAGGACTTTGGTGCTATTTTGTTGGTTTCGAACACCGAAGTAATGATGAGAAGGGACAGTCAGGGGCACTCGTATTCCGCAGAGAGAGGTGAAATTCTTAGACCCGCGGAAGACGAACCACTGCGAAAGCATTTGCCAGGGATGTTTTCACTGATCAAGAACGAAAGTTAGGGGATCGAAGATGATCAGATACCGTCGTAGTCTTAACCATAAACCATGCCGACTAGGG</t>
  </si>
  <si>
    <t>TAGTCATATGCTTGTCTCAAAGATTAAGCCATGCATGTCTAAGTATAAGCGACTATACTGTGAAACTGCGAATGGCTCATTAAATCAGTTATGGTTTATTTGATGGTACCTACTACTTGGATAACCGTAGTAATTCTAGAGCTAATACATGCAGGAAGACCCGACTTCGGAAGGGTTGTATTTATTAGATAAGAAACCAATCCAGCTTGCTGGTTGCGTGCTGAGTCACAATAACTGCTCGAATCGCAC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</t>
  </si>
  <si>
    <t>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ACTTGACCGAAAGGTCCGGTAAACCTTTAAACTTGCATCGTGATGGGGATAGATTATTGCAACTATTAATCTTCAACGAGGAATACCTAGTAGGCGCATGTCATCAGCGTGCGTCGATTACGTCCCTGCCCTTTGTACACACCGCCCGTCGCTCCTACCGATTGAATGATCCGGTGAGGCCCCCGGAATGGGATCACTGCCTGGTTCGCCAGAATGAGATCCCGTGAAGCTGTCCAAACCTTATCATTTAGAGGAAGGAGAAGTCGTAACAAGGTTTCCGTAGGTGAACCTGC</t>
  </si>
  <si>
    <t>No V4 (1164-1783)</t>
  </si>
  <si>
    <t>Prymnesium palpebrale_99.2</t>
  </si>
  <si>
    <t>ACCTGGTTGATCCTGCCAGTAGTCATATGCTTGTCTCAAAGATTAAGCCATGCATGTCTAAGTATAAGCGACTTGTACTGTGAAACTGCGAATGGCTCATTAAATCAGTTATGGTTTATTTGATGGTACCTTACTACTTGGATAACCGTAGTAATTCTAGAGCTAATACATGCAGGAAGTCCCGACTTCGGAAGGGATGTATTTATTAGATAAGAAACCAACCCGGCTTGCCGGTTGCGTGCTGAGTCACAATAACTGCTCGAATCGCATGGCCTTGC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T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GGGTGGATGTCCTTCTTTGACTCCATCC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TTTGTTGGCGGTTCACTTCTTAGAGGGACAACTTGTCTTCAACAAGTGGAAGTTTGAGGCAATAACAGGTCTGTGATGCCCTTAGATGTTCTGGGCCGCACGCGCGCTACACTGATGCACTCAACGAGTCTT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GCGGAAGGATCA</t>
  </si>
  <si>
    <t>ASV_1733</t>
  </si>
  <si>
    <t>be181af4eb_7_1055</t>
  </si>
  <si>
    <t>Chrysochromulina campanulifera_98.7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</si>
  <si>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GGATCAGATACCCTCGTA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TTCACCGAAAGGTGCGGAAAACCTTTAAACTTGCATCGTGATGGGGCTAGATTATTGCAACTATTAATCTTCAACGAGGAATACCTAGTAAGCGCATGTCATCAGCGTGCGTTGATTACGTCCCTGCCCTTTGTACACACCGCCCGTCGCTCCTACCGATTGAATGATCCGGTGAGCTTTTTGGACAGTGGCCTCTGCATGGTTCGCCATAACGAGGCTGCGGGAAGATGCGCAAACCTTATCATTTAGAGGAAGGAGAAGTCGTAACAAGGTTTCCGTAGGTGAACCTGCGGAAGGATCA</t>
  </si>
  <si>
    <t>Chrysochromulina simplex_94.8</t>
  </si>
  <si>
    <t>GATTAGCATGGGATAATGAAATAGGACTTTGGTGCTATTTTGTTGGTTTCGAACACCGAAGTAATGATGAGAAGGGACAGTCAGGGGCACTCGTATTCCGCCGAGAGAGGTGAAATTCTCAGACCAGCGGAAGACGAACCACTGCGAAAGCATTTGCCAGGGATGTTTTCACTGATCAAGAACGAAAGTTAGGGGATCGAAGACGATCAGATACCGTCGTAGTCTTAACCATAAACCATGCCGACTAGGGATTGGAGGATGTTCACTTATTGACTCCTTCAGCACCTTACGGGAAACTAAAGTC</t>
  </si>
  <si>
    <t>Little V4 (171 bp)</t>
  </si>
  <si>
    <t>Chrysochromulina leadbeateri_97.6</t>
  </si>
  <si>
    <t>TAACAGGTCTGTGATGCCCTTAGATGTTCTGGGCCGCACGCGCGCTACACTGATGCACTCAACGAGTCTCCACCTTGACCGAAAGGTCCGGGAAATCTTCGAACTTGCATCGTGATGGGGATAGATTATTGCAACTATTAATCTTCAACGAGGAATACCTAGTAGGCGCATGTCATCAGCGTGCGTCGATTACGTCCCTGCCCTTTGTACACACCGCCCGTCGCTCCTACCGATTGAATGATCCGGTGAGCTCTTTGGACCCTAGCAACGGCTTTGGTTCGCCAAACTGATGCTGGGGGAAGATGCGCAAACCTTATCATTTAGAGGAAGGAGAAGTCGTAACAAGGTTTCCGTAGGTGAACCTGCGGAAGGATCA</t>
  </si>
  <si>
    <t>No V4 (1421-1796)</t>
  </si>
  <si>
    <t>Phaeocystis jahnii_96.8</t>
  </si>
  <si>
    <t>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GTGAACCTGCGGAAGGATC</t>
  </si>
  <si>
    <t>ASV_1082</t>
  </si>
  <si>
    <t>6a4fd8e53596a4c359224ad4fae649eb1e009c5e</t>
  </si>
  <si>
    <t>eba24a23e2_17_1272</t>
  </si>
  <si>
    <t>A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GGAAGGATC</t>
  </si>
  <si>
    <t>Chrysochromulina scutellum_99.4</t>
  </si>
  <si>
    <t>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TAATGGGTGGTGGTGCAT</t>
  </si>
  <si>
    <t>No V4 (965-1275)</t>
  </si>
  <si>
    <t>Chrysochromulina campanulifera_98.6</t>
  </si>
  <si>
    <t>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GCCTTGACCGAAAGGTCCGGGAAACCTTCGAACTTGCATCGTGATGGGGATAGATTATTGCAACTATTAATCTTCAACGAGGAATACCTAGTAAGCGCATGTCATCAGCGTGCGTTGATTACGTCCCTGCCCTTTGTACACACCGCCCGTCGCTCCTACCGATTGAATGATCCGGTGAGCTTTTTGGACAGTGGCATCGGTAGTGGTTCGCCACTCTGACGCTGCGGGAAGATGCGCAAACCTTATCATTTAGAGGAAGGAGAAGTCGTAACAAGGTTTCCGTAGGTGAACCTGCGGAAGGATCA</t>
  </si>
  <si>
    <t>No V4 (1014-1798)</t>
  </si>
  <si>
    <t>Prymnesium parvum_95.6</t>
  </si>
  <si>
    <t>CCTGGTTGATCCTGCCAGTAGTCATATGCTTGTCTCAAAGATTAAGCCATGCATGTCTAAGTATAAGCGACTTGTACTGTGAAACTGCGAATGGCTCATTAAATCAGTTATGGTTTATTTGATGGTACCTTACTACTTGGATAACCGTAGTAATTCTAGAGCTAATACATGCAGGAATTCCCGACTTCGGAAGGGATGTATTTATTAGATAAGAAACCAACTCCCTCTGGGATTGTGTGCTGAGTCATAATAACTGCTCGAATCGCATGGCTTTACGCCGGCGATGGTTCATTCAAATTTCTGCCCTATCAGCTTTCGATGGTAGGATAGAGGCCTACCATGGCGTTTACGGGTAACGGAGAATTAGGGTTCGATTCCGGAGAGGGAGCCTGAGAAATGGCTACCACATCCAAGGAAGGCAGCAGGCGCGTAAATTGCCCGAATCCTGACACAGGGAGGTAGTGACAAGAAATAACAATACAGGGCTACTTTTAGTCTTGTAATTGGAATGAGTACAATTTACATCTCTTCACGAGGATCAATTGGAGGGCAAGTCTGGTGCCAGCAGCCGCGGTAATTCCAGCTCCAATAGCGTATATTAAAGTTGTTGCAGTTAAAAAGCTCGTAGTCGGATTTCGGGGCGGGGCGACCGGTCTGCCGATGGGTATGCACTGGTCGGCGCGTCCTTCCTTCCGGAGACCGTGCCTACTCTTAACTGAGCGGGGGCGGGAGACGGATCGTTTACTTTGAAAAAATCAGAGTGTTTCAAGCAGGCGTCTCGCCTTTGCATGGATTAGCATGGGATAATGAAATAGGACTTTGGTGCTATTTTGTTGGTTTCGAACACCGAAGTAATGATTAACAGGGACAGTCAGGGGCACTCGTATTCCGTCGAGAGAGGTGAAATTCTCAGACCAATGGAAGACGAACAACTGCGAAAGCATTTGCCAGGGATGTTTTCACTGATCAAGAACGAAAGTTAGGGGATCGAAGACGATCAGATACCGTCGTAGTCTTAACCATAAACCATGCCGACTAGGGATCGGAGGATGTTAGATTTGACTCCTTCGGCACCTTACGGGAAACTAAAGTCTTTGGGTTCCGGGGGGAGTATGGTCGCAAGGCTGAAACTTAAAGGAATTGACGGAAGGGCACCACCAGGAGTGGAGCCTGCGGCTTAATTTGACTCAACACGGGGAAACTTACCAGGTCCAGACATTGTAAGGATTGACAGATTGAGAGCTCTTTCTTGATTCGATGGGTGGTGGTGCATGGCCGTTCTTAGTTGGTGGAGTGATTTGTCTGGTTAATTCCGTTAACGAACGAGACCTTAGCCTGCTAAATAGTTACGCGAACTCTCTGTTTGCGGCCAACTTCTTAGAGGGACAACTTGTTTTCAACAAGTGGAAGTTTGAGGCAATAACAGGTCTGTGATGCCCTTAGATGTTCTGGGCCGCACGCGCGCTACACTGATGCACTCAACGAGTTTATCACCTTGACCGAAAGGTCCGGGTAACCTTCTGAAATTGCATCGTGATGGGGATAGATTATTGCAACTATTAATCTTCAACGAGGAATTCCTAGTAAGCGTGTGTCATCAGCGCACGTTGATTACGTCCCTGCCCTTTGTACACACCGCCCGTCGCTCCTACCGATTGAATGATCCGGTGAGGCCCCCGGACTGCGACAACTTAGACGGTTCGCCGTCCGAGATGCTGCGGGAAGCTGTCCAAACCTTATCATTTAGAGGAAGGAGAAGTCGTAACAAGGTTTCCGTAGGTGAACCTGCGGAAGGATCA</t>
  </si>
  <si>
    <t>ASV_376</t>
  </si>
  <si>
    <t>cab84747323c8569ddcbe8715f41cee5c3f3334a</t>
  </si>
  <si>
    <t>8e07f044b3_23_729</t>
  </si>
  <si>
    <t>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</t>
  </si>
  <si>
    <t>Dinoflagellata</t>
  </si>
  <si>
    <t>Alveolata</t>
  </si>
  <si>
    <t>CTGTGATGCCCTTAAAGGTTCTGGGCTGCACGCGCGCCACACTGATGCGCTCAACGAGTTTACTTCCTTGCGCGGCAGCGTTGGGTAATCTTCTTAAAACGCATCGTGATGGGGATAGATTATTGCAATTATTAATCTTCAACGAGGAATTCCTAGTAAGCGCGAGTCATCAGCTCGTGCTGATTACGTCCCTGCCCTTTGTACACACCGCCCGTCGCTCCTACCGATTGAGTGATCCGGTGAATAATTCGGACTGCGACAGTGTTCAGTTCCTGAACGTTGACGCGGAAAGTTTAGTAAACCTTATCATTTAGAGGAAGGAGAAGTCGTAACAAGGTTTCCGTAGTAGGTGAACCTGCGGAAGGATCA</t>
  </si>
  <si>
    <t>No V4 (1412-1777)</t>
  </si>
  <si>
    <t>GGAGCCTGCGGCTTAATTTGACTCAACACGGGGAAACTTACCAGGTCCAGACATTGTGAGGATTGACAGATTGAGAGCTCTTTCTTGATTTAATGGGTGGTGGTGCATGGCCGTTCTTAGTTGGTGGAGTGATTTGTCTGGTTAATTCCGTTAACGAACGAGACCTTAGCCTGCTAAATAGTGACGCGAACTCTTTGTTCGCGGGCCACTTCTTAGAGGGACAACTTGTCTTCAACAAGTGGAAGTTTGAGGCAATAACAGGTCTGTGATGCCCTTAGATGTTCTGGGCCGCACGCGCGCTACACTGATGCACTCAACGAGTCTCCACCTTGACCGAGAGGTCCGGGAAACCTTTAAACTTGCATCGTGATGGGGATAGATTATTGCAACTATTAATCTTCAACGAGGAATACCTAGTAGGCGCATGTCATCAGCGTGCGTCGATTACGTCCCTGCCCTTTGTACACACCGCCCGTCGCTCCTACCGATTGAATGATCCGGTGAGCTTTTTGGACTGTGGCAACGGTCTTGGTTCGCCAAACTGATGCCGCGGGAAGATACGCAAACCTTATCATTTAGAGGAAGGAGAAGTCGTAACAAGGTTTCCGTAGGTGAACCTGCGGAAGGATCA</t>
  </si>
  <si>
    <t>No V4 (1166-1796)</t>
  </si>
  <si>
    <t>Chrysochromulina scutellum_97.7</t>
  </si>
  <si>
    <t>TAGTCATATGCTTGTCTCAAAGATTAAGCCATGCATGTCTAAGTATAAGCGACTATACTGTGAAACTGCGAATGGCTCATTAAATCAGTTATGGTTTATTTGATGGTACCTACTACTTGGATAACCGTAGTAATTCTAGAGCTAATACATGCAGGGAGACCCGACTTTGGGAGGGTTGTATTTATTAGATAAGAAACCAATCCAGCTTGCTGGTTGCGTGCCGAGTCACAATAACTTT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TGCACTGGTCGGCGCGTCCTTCCTTCCGGAGACCGTGCCTACTCTTAACTGAGCGGGGGCGGGAGACGGAACG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A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CGACGCGAACACTTCGTTCGCGGGCCG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GCCTTTGGACCTCGTCGATGGCACCGGTTCGCCGGTCCGCCGATGAGGGAAGATGTCCAAACCTTATCATTTAGAGGAAGGAGAAGTCGTAACAAGGTTTCCGTAG</t>
  </si>
  <si>
    <t>T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</t>
  </si>
  <si>
    <t>ASV_431</t>
  </si>
  <si>
    <t>9fd25826831603f8a682d43e7e9eae1760075880</t>
  </si>
  <si>
    <t>e42adc2f70_94_33802</t>
  </si>
  <si>
    <t>Chrysochromulina scutellum_97.6</t>
  </si>
  <si>
    <t>ACCTGGTTGATCCTGCCAGTAGTCATATGCTTGTCTCAAAGATTAAGCCATGCATGTCTAAGTATAAGCGACTATACTGTGAAACTGCGAATGGCTCATTAAATCAGTTATGGTTTATTTGATGGTACCTACTACTTGGATAACCGTAGTAATTCTAGAGCTAATACATGCAGGAAAGCCGGACTTCGGGATGGCTGTATTTATTAGATAAGAAACCAAC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CTCACTCTTAACTGAGCGGAGGCGGGAGACGGAACGTTTACTTTGAAAAAATCAGAGTGTTTCAAGCAGGCAGCTCGCTTTTGCATGGATTAGCATGGGATAATGAAATAGGACTTTGGTGCTATTTTGTTGGTTTCGAACACCGAAGTAATGATGAGAAGGGACAGTCAGGGGCACTCGTATTCCGCCGAGAGAGGTGAAATTCTCAGACCAGCGGAAGACGAACCACTGCGAAAGCATTTGCCAGGGATGTTTTCACTGATCAAGAACGAAAGTTAGGGGATCGAAGACGATCAGATACCGTCGTAGTCTTAACCATAAACCATGCCGACTAGGGATTGGTGGATGTTCACTTATTGACTTCA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TTAGCAACGGCTTTGGTTCGCCAAACTGATGCTGGGGGAAGATACGCAAACCTTATCATTTAGAGGAAGGAGAAGTCGTAACAAGGTTTCCGTAGGTGAACCTGCGGAAGGATC</t>
  </si>
  <si>
    <t>ASV_1288</t>
  </si>
  <si>
    <t>04e02fc706d56961eb05d1f924ec2c934740fa59</t>
  </si>
  <si>
    <t>99afbc23da_11_811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</si>
  <si>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GT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GGCGGTCCACTTCTTAGAGGGACAACTTGTCTTCAACAAGTGGAAGTTTGAGGCAATAACAGGTCTGTGATGCCCTTAGATGTTCTGGGCCGCACGCGCGCTACACTGATGCACTCAACGAGTCTCCACCTTGACCGAGAGGTCCGGGAAACCTTCGAACTTGCATCGTGATGGGGATAGATTATTGCAACTATTAATCTTCAACGAGGAATACCTAGTAGGCGCATGTCATCAGCGTGCGTCGATTACGTCCCTGCCCTTTGTACACACCGCCCGTCGCTCCTACCGATTGAATGGTCCGGTGAGTTTTTTGGACTGTGGCAACGGTTTCGGTTCGCCGTACTGATGCCGCGGGAAGATACGCAAACCTTATCATTTAGAGGAAGGAGAAGTCGTAACAAGGTTTCCGTAGGTGAACCTGCGGAAGGATC</t>
  </si>
  <si>
    <t>ASV_953</t>
  </si>
  <si>
    <t>42ca5b837a09825b08c9e3d102dd523f9a83d859</t>
  </si>
  <si>
    <t>149cd212e6_28_2414</t>
  </si>
  <si>
    <t>Chrysochromulina acantha_99.2</t>
  </si>
  <si>
    <t>ACCTGGTTGATCCTGCCAGTAGTCATATGCTTGTCTCAAAGATTAAGCCATGCATGTCTAAGTATAAGCGACTATACTGTGAAACTGCGAATGGCTCATTAAATCAGTTATGGTTTATTTGATGGTACCTACTACTTGGATAACCGTAGTAATTCTAGAGCTAATACATGCAGGAAGACCCGACTTTGAAGGGTTGTATTTATTAGATAAGAAACCTTCCCCTTCGGGGTTGTGTGCTGAGTCACAATAACTTTTCGAATCGCACTGCTTTACGCT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CCCGACCGGTCTGCCGATGGGTACGCACTGGTCGGCGCGTCCTTCCTTCCGGAGACCGTGCCTACTCTTAACTGAGCGGGGGCGGGAGACGGATCGTTTACTTTGAAAAAATCAGAGTGTTTCAAGCAGGCAGCTCGCTCTTGCATGGATTAGCATGGGATAATGAAATAGGACTTTGGTGCTATTTTGTTGGTTTCGAACACCGAAGTAATGATTAAAAGGGACAGTCAGGGGCACTCGTATTCCGCCGAGAGAGGTGAAATTCTCAGACCAGCGGAAGACGAACCACTGCGAAAGCATTTGCCAGGGATGTTTTCACTGATCAAGAACGAAAGTTAGGGGATCGAAGAGGATCAGATACCCTCGTAGTCTTAACCATAAACCATGCCGACTAGGGATTGGAGGATGTTCACTGATTGACTCCTTCAGCACCTTACGGGAAACTAAAGTCTTTGGGTTCCGGGGGGAGTATGGTCGCAAGGCTGAAACTTAAAGGAATTGACGGAAGGGCACCACCAGGTGTGGAGCCTGCGGCTTAATTTGACTCAACACGGGGAAACTTACCAGGTCCAGACATTGTGAGGATTGACAGATTGAGAGCTCTTTCTTA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TTGGGATCACTGCCTGGTTCTCCAGAATGCGATCCTGAGAAGCTGTCCAAACCTTATCATTTAGAGGAAGGAGAAGTCGTAACAAGGTTTCCGTAGGTGAACCTGC</t>
  </si>
  <si>
    <t>Chrysochromulina acantha_99.3</t>
  </si>
  <si>
    <t>ACCTGGTTGATCCTGCCAGTAGTCATATGCTTGTCTCAAAGATTAAGCCATGCATGTCTAAGTATAAGCGACTATACTGTGAAACTGCGAATGGCTCATTAAATCAGTTATGGTTTATTTGATGGTACCTACTACTTGGATAACCGTAGTAATTCTAGAGCTAATACATGCAGGAATACCCGACTTTGAAGGGTTGTATTTATTAGATAAGAAACCTTCCCCTTCGGGGTTGTGTGCTGAGTCACAATAACTGCTCGAATCGCAG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CGCACTGGTCGGCGCGTCCTTCCTTCCGGAGACCGCGCCTACTCTTAACTGAGCGGGTTCGGGAGACGGATCGTTTACTTTGAAAAAATCAGAGTGTTTCAAGCAGGCAGCTCGCTTTTGCATGGATTAGCATGGGATAATGAAATAGGACTTTGGTGCTATTTTGTTGGTTTCGAACACCGAAGTAATGATTAAAAGGGACAGTCAGGGGCACTCGTATTCCGCCGAGAGAGGTGAAATTCTCAGACCAGCGGAAGACGAACCACTGCGAAAGCATTTGCCAGGGATGTTTTCACTGATCAAGAACGAAAGTTAGGGGATCGAAGAGGATCAGATACCC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ATGGGATCACTGCCTGGTTCGCCAGAATGAGATCCTGTGAAGCTGTCCAAACCTTATCATTTAGAGGAAGGAGAAGTCGTAACAAGGTTTCCGTAGGTGAACCTGCGGAAGGATC</t>
  </si>
  <si>
    <t>ASV_5191</t>
  </si>
  <si>
    <t>Chrysochromulina simplex_99.8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</si>
  <si>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T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A</t>
  </si>
  <si>
    <t>ACCTGGTTGATCCTGCCAGTAGTCATATGCTTGTCTCAAAGATTAAGCCATGCATGTCTAAGTATAAGCGACTATACTGTGAAACTGCGAATGGCTCATTAAATCAGTTATGGTTTATTTGATGGTACCTACTACTTGGATAACCGTAGTAATTCTAGAGCTAATACATGCAGGAAGACCCAACTTCGGACGGGTTGTATTTATTAGATAAGAAACCAATCCAGCTTGCTGGTTGCGTGCCGAGTCACAATAACTGCTCGAATCGCATGACTTTACGT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TCGACCGGTCTGCCGATGGGTATGCACTGGTCGACGCGTCCTTCCTTCCGGAGACCGTCTCACTCTTAACTGAGCGGAGGCGGGAGACGGAACGTTTACTTTGAAAAAATCAGAGTGTTTCAAGCAGGCAGCTCGCTCTTGCATGGATTAGCATGGGATAATGAAATAGGACTTTGGTGCTATTTTGTTGGTTTCGAACACC</t>
  </si>
  <si>
    <t>Chrysochromulina scutellum_97.5</t>
  </si>
  <si>
    <t>TAGTCATATGCTTGTCTCAAAGATTAAGCCATGCATGTCTAAGTATAAGCGACTATACTGTGAAACTGCGAATGGCTCATTAAATCAGTTATGGTTTATTTGATGGTACCTACTACTTGGATAACCGTAGTAATTCTAGAGCTAATACATGCAGGAAGACCCGACTTCGGAAGGGTTGTATTTATTAGATAAGAAACCAATCCAGCTTGCTGGTTGTGTGCCGAGTCACAATAACTTTTCGAATCGCATGGCTTCAC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</si>
  <si>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ASV_1927</t>
  </si>
  <si>
    <t>4ba565c4675df6bd7a53b42bbb16ab2f8380e4a8</t>
  </si>
  <si>
    <t>b7402faf74_4_180</t>
  </si>
  <si>
    <t>Chrysochromulina scutellum_97.4</t>
  </si>
  <si>
    <t>TAGTCATATGCTTGTCTCAAAGATTAAGCCATGCATGTCTAAGTATAAGCGACTATACTGTGAAACTGCGAATGGCTCATTAAATCAGTTATGGTTTATTTGATGGTACCTACTACTTGGATAACCGTAGTAATTCTAGAGCTAATACATGCAGGAAGACCCGACTCACGGAGGGTTGTATTTATTAGATAAGAAACCAACCCAGCTTGCTGGTTGCGTGCCGAGTCACAATAACTTTTCGAATCGCATGGCTTTA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GAACGCTCGTAGTCGGATTTCGGGGCGAGCCTTCCGGTCTGCCGATGGGTATGCACTGGTCGGGTCGTCCTTCCTTCCGGAGACCGTC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TGATTGACTT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GCCACTTCTTAGAGGGACAACTTGTCTTCAACAAGTGGAAGTTTGAGGCAATAACAGGTCTGTGATGCCCTTAGATGTTCTGGGCCGCACGCGCGCTACACTGATGCACTCAACGAGTCTCCACCTTGACCGAAAGGTCCGGGAAACCTGCGAACTTGCATCGTGATGGGGATAGATTATTGCAACTATTAATCTTCAACGAGGAATACCTAGTAGGCGTGTGTCATCAGCGCGCGTCGATTACGTCCCTGCCCTTTGTACACACCGCCCGTCGCTCCTACCGATTGAATGATCCGGTGAGGCCCCCGGACTGTGGCAACGGCTTTGGTTCGCCAAACTGATGTTGCGGGAAGCTGTCCAAACCTTATCATTTAGAGGAAGGAGAAGTCGTAACAAGGTTTCCGTAG</t>
  </si>
  <si>
    <t>ASV_3675</t>
  </si>
  <si>
    <t>d44ed8d0eaa44cf3056d2188a2d9f5e0db055562</t>
  </si>
  <si>
    <t>39fafaf863_7_145</t>
  </si>
  <si>
    <t>TGAGAGATGGCTACCACATCCAAGGAAGGCAGCAGGCGCGTAAATTGCCCGAATCCTGACACAGGGAGGTAGTGACAAGAAATAACAATACAGGGCTACATCTAGTCTTGTAATTGGAATGAGTACAATTTACATCTCTTAACGAGGATCAATTGGAGGGCAAGTCTGGTGCCAGCAGCCGCGGTAATTCCAGCTCCAATAGCGTATATTAAAGTTGTTGCAGTTAGAACGCTCGTAGTCGGATTTCGGGGCGGGCCGACCGGTCTGCCGATGGGTATGCACTGGTCGGCGCGTCCTTCCTGCCGGAGACCGTGCCTACTCTTAACTGAGCGGGGGCGGGAGACGGC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</si>
  <si>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Kinetoplastea</t>
  </si>
  <si>
    <t>CTGCCAGTAGTCATATGCTTGTTTCAAGGACTAAGCCATGCATGCCTCAGAATCACTGCATTTGCAGGAATCTGCGCATGGCTCATTACATCAGACGAAAACTGCCGCAATTATTTTGCGGTTTCCGCAAGACTGGATACCTTGGCGAAATGCCAAGCTAATACATGAATCTGATGGGCGTACTCCGTTCCACGCTGGGGAGGTGCTTGCACTGAACCAGCGGTGAGTCGCTCTGCGAATGAATGAAATTAAAACCAATGCCGCGGACGCGGCAGCATCACTGAGAAGTGTTGAATCAATTCATTCCGTGCGAAAGCTGAATTTTCAGCGTTTTTTGACGTTCAACTGCCCTATCAGCCAGTGATGGCCGTGTAGTGGACTGCCATGGCGTTGACGGGAGCGGGGGATTAGGGTTCGATTCCGGAGAGGGAGCCTGAGAAACGGCTACCACTTCTACGGAGGGCAGCAGGCGCGCAAATTGCCCAATGCCAAAAAATTGGTGAGGCAGCGAAAAGAAATAGGCCTCCTTAACACCTTACGGTGTTTGGGAGATTCCAATGGGGGATATTTAAACCCATCGAACATCGAGTACCGATTGGAGGACAAGTCTGGTGCCAGCACCCGCGGTAATTCCAGCTCCAAGAGCGTATATTAATGCTGTTGCTGTTAAAGGGTTCGTAGTTGAATTGAGGGTGTTTGGGTTCATGTTGGTGCAGTCCCACCTCGCTTCGTGCAGGTCGGTGGCTCCCACGCCTGACACTCGTGAACATTCAGAAACAAATACTCCGGGATTCTGCTTCTCTCCAACATCTCTCGCGTACAATGCACGCCGTGTGGAGGGACGCCCGGAATTTTTACTGTGACTAAAAAAGCGCGACCAAAGCAGTCAAGCGACATGAATTTTAAAGCATGGGATAACAACGAAGCAGCCTGCGGGTTACCGTTTCGGCTTTTGTTGGTTTTAAAGATCTGTGGGAGATTATGGCATGGTGTGACAAGCGGTTCGGAGCTCGCCTAGCGATGTCTCCTACGCCTTCCCGCGTCGTTCTGGTTCGCGCCAGGCGGCGTCCGGTTCACCTTTGCTAGGAATGAAGGAGGGTTGTTCGGGGGAGAAAGTACTTGGGCGTGAGAGGTGAAATTCTTAGACCGCCCAAAGACTAACTACAGCGAAGGCATTCTCCAAGGATACCTTCCTCAATCAAGAACCAAAGTGCGGAGATCGAAGATGATTAGAGACCATTGTAGTCCGCGCCCCAAACGGTGACCCCCATGAATTGGGGAGTATTTGACTCACTTGCTCCAGCCTTCTGGTTGGTAGTAAGTGGTCAATAATTACTCAACTTACGTGCACATTCGACGCGTTGGACTTCAAAAACCCAACGTTCTACGGGAATATCCTCAGCACGTTCTCTGACTGTCTCACGCGAAAGCTTTGAGGTTACAGTCTCAGGGGGGAGTACGTTCGCAAGAGTGAAACTTAAAGAAATTGACGGAATGGCACCACAAGATGTGGAGCGTGCGGTTTAATTTGACTCAACACGGGGAACTTTACCAGATCCGGACAGGGTGAGGATTGACAGATTGAGTGTTCTTTCTCGATCCCTTGAATGGTGGTGCATGGCCGCTTTTGGTCGGTGGAGTGATTTGTTTGGTTGATTCCGTCAACGGACGAGATCCAAGCTGCCCAGTAGAAACCAAAATCTCTCTATGAAAGACAGCAATCCCATAGGCTTTCCCTCGTGGTTAGTCTAGGGCTACCTT</t>
  </si>
  <si>
    <t>ATTTAAATCCCTTAACGAGGATCAATTGGAGGGCAAGTCTGGTGCCAGCAGCCGCGGTAATTCCAGCTCCAATAGCGTATATTAAAGTTGTTGCAGTTAAAAAGCTCGTAGTTGGATTTCTGGTAGGAGCACGGGTCGGCCCTCACGGGTTGTACTGTTGTTGCGTCCTGCCGTTTCGGAGGGAATGGTCTCGCTATTAGGTTAGTGG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GGGCGAACTTCACGGTTCGTAGCTA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</t>
  </si>
  <si>
    <t>ASV_4924</t>
  </si>
  <si>
    <t>c152d5090d_4_150</t>
  </si>
  <si>
    <t>Cryothecomonas longipes_98.7</t>
  </si>
  <si>
    <t>ACCTGGTTGATCCTGCCAGTAGTCATATGCTTGTCTCAAAGATTAAGCCATGCATGTCTAAGTATAAACAACTTTATACTGTGAAACTGCGAACGGCTCATTATATCAGCAATAATTTATTTGATGGTTCCTTACTACATGGATAACTGTAGTAATTCTAGAGCTAATACATGCGTAAAATCCCGACTCTTGCGGGGAGGGATGTATTTATTAGATAAAAAACCAATGCGGCCTCTGGCCGGTTTTGTGGTGAATCATAGTAACTTTTCGAATCGCATGGCTTCACGCCGGCGATAGTTCATTCAAATTTCTGCCCTATCAGCTTTCGACGGTAGTGTAGTGGACTACCGTGGCGTTAACGGGTAACGGAGAATTAGGGTTCGATTCCGGAGAGGGAGCCTGAGAAACGGCTACCACATCCAAGGAAGGCAGCAGGCGCGCAAATTACCCAATCCTGACACAGGGAGGTAGTGACAAAAAATAACAATACCTGGCCTTTTCAGGTCGGGTAATTGGAATGAGTACAATTTAAATCCCTTAACGAGGATCCATTGGAGGGCAAGTCTGGTGCCAGCAGCCGCGGTAATTCCAGCTCCAAGAGCGTATATTAAAGTTGTTGCAGTTAAAAAGCTCGTAGTTGGATTTCTGGTATAATGCGCCTGGCCCGCGACGGTTACGTCTGTGAGTGCCGGTGCGCGTTTGCCATCCTTCTAGAAAACGTTTCTACCCTTCGCTGGGCCGGATTCGCGATCTAGATCTTTTACTTTGAAAAAATTAGAGTGTTTAAAGCAGGCTTTTGCTATGAATACATTAGCATGGAATAATAATCTAGGACTTCGGTTCTATTTTGTTGGTTTCTAGTACTGAAGTAATGATTGATAGGGATAGTTGGGGGTGCTAGTATTGGCCGGCCAGAGGTGAAATTCTTGGATTCGGTCAAGACTAACTTATGCGAAAGCATTCACCAAGGATGTCTTCTTTAATCAAGAACGAAAGTTGGGGGATCGAAGACGATCAGATACCGTCGTAGTCTCAACCATAAACTATGCCAACTAGGGATGAGTGAACGTTGCATTTTCGACTTCATTCGCACCTTATGAGAAATCAAAGTCTTTGGGTTCCGGGGGGAGTATGGTCGCAAGGCTGAAACTTAAAGGAATTGACGGAAGGGCACCACCAGGAGTGGAGCCTGCGGCTTAATTTGACTCAACACGGGAAAACTTACCAGGTCCGGACATAGTGAGGATTGACAGATTGAAGATCTTTCTTGATTCTATGGGTGGTGGTGCATGGCCGTTCTTAGTTGGTGGAGTGATTTGTCTGGTTAATTCCGTTAACGAACGAGACCTCGACCTGCTAAATAGTTCAGCGAATTCTTCGGGATTCGTATGTGACTTCTTAGAGGGACTATCGGTGGGTAGCCGATGGAAGTTCGAGGCAATAACAGGTCTGTGATGCCCTTAGATGTTCTGGGCCGCACGCGCGCTACACTGACTGGTTCATCGAGTATACAACCTTGACTGATAGGTCTGGGTAATCTTCTCAAAGCCAGTCGTGCTGGGGATAGATTATTGTAATTTTTAATCTTCAACGAGGAATTCCTAGTAAACGCAAGTCATCAACTTGCATTGATTACGTCCCTGCCCTTTGTACACACCGCCCGTCGCTACTACCGATTGAATGGCTTAGTGAGCTTTCTGGACTGTTGCACTTCGTTGGAAACTTCGTTGTGCATACGGGAAGGAAATCAAACTTGATCATTTAGAGGAAGTAAAAGTCGTAACAAGGTTTCCGTAGGTGAACCTGCGGAAGGATCA</t>
  </si>
  <si>
    <t>ASV_775</t>
  </si>
  <si>
    <t>ee5fc1558b_14_1335</t>
  </si>
  <si>
    <t>ACAATTTAAATCCCTTTACGAGGATCAATTGGAGGACAAGTCTGGTGCCAGCAGCCGCGGTAATTCCAGCTCCAATAGCGTATATTAAAGTTGTTGCAGTTAAAAAGCTCGTAGTTGGATTTCTGGGTCAAGCTCCTGGTCCGCCACAAAGTGGTGCCGACTGTGTGTAGCGTTGATTCATCCTTGTGGGAAAGTTAGTTAGGCCTTCGTTGGTCGGCTATCGGAACCGCATCATTTACTGTGAAAAAATTAGAGTGTTCAAAGCAGGCTTTCGCTATGAATACATTAGCATGGAATAATAAGATAGGACTTTGGATCTATTTTGTTGGTTGGAGACCAAGGTAATGATTAATAGGGATAGTTGGGGGTATTCATATTTAATTGTCAGAGGTGAAATTCTTGGATTTATGAAAGATGAACTTATGCGAAAGCATTTACCAAGGATGTTTTCATTAATCAAGAACGAAAGTTAGGGGATCGAAGAGGATTAGATACCCTCGTAGTCTTAACCATAAACTATGCCGACTCGGGATTGGAGGGCGTATATCAATGAGCCTTTCAGCACCGTATGAGAAATCAAAGTCTTTGGGTTCCGGGGGGAGTATGGTCGCAAGGCTGAAACTTAAAGGAATTGACGGAAGGGCACCACCAGGAGTGGAGCCTGCGGCTTAATTTGACTCAACACGGGGAAACTCACCAGGTCCGGACATAGTAAGGATTGACAGATTGACAGCTCTTTCTTGATTCTATNGGNGGTGGTGCATGGCCGTTCTTAGTTGGTGGAGTGATTTGTCTGGTTGATTCCGTTAACGAACGAGATCTCCGCCTGCTAAATAGGATCGATTACGTTTGTAGTCGGTTAACTTCTTAGAGGGACACTCGGCGTTTAGTCGAGGGAAGTTGGAGGCAATAACAGGTCTGTGATGCCCTTAGATGTTCTGGGCCGCACGCGCGCTACACTGATTCGCTCAACAAGTTTATAACCTTGGTCGAGAGGCCTGGGTAATCTTGCAATCCGAATCGTGCTGGGGNTTGGTCCTTGTAATTCTTGACCATGAACGAGGAATTCCTAGTAAACGCGAGTCATCAACTCGCATTGATTACGTCCCTGCCCTTTGTACACACCGCCCGTCGCACCTACCGATTGAATGGTCCGGTGAATTCTTCGGATAGCGGCCTGAACACGCAAGTGGACGGGCTGCCAGAAGTTGATTAAACCTTGCCATTTAGAGGAAGGTGAAGTCGTAACAAGGTTTCC</t>
  </si>
  <si>
    <t>ASV_3882</t>
  </si>
  <si>
    <t>c6d588f9042056df3ff351a4a651c3abfc443ec1</t>
  </si>
  <si>
    <t>Tunicaraptor unikontum_98.1</t>
  </si>
  <si>
    <t>CTGGTTGATCCTGCCAGTAGTCATATGCTTGTCTCAAAGATTAAGCCATGCAAGTCTAAGTATAAGCAATCTATACTGTGAAACTGCGAATGGCTCATTAAATCAGTTATAGTTTATTTGATGGTACCTACTACATGGATAACCGTAGTAATTCTAGAGCTAATACATGCGTAAAATCCCGACTTCTGGAAGGGATGTATTTATTAGATAAAAAGCCAATGCGGGGCAACCCGGTCGTTTGGTGATTCATAATAACTCGTCGAACCGCATGGCCTTGCGCCGGCGGTGCTTCATTCAAGTTTCTGCCCTATCAACTTTCGATGGTAAGGTATTGGCTTACCATGGTGACAACGGGTAACGGAGAATTAGGGTTCGATTCCGGAGAGGGGGCCTGAGAAATGGCCACCACATCCAAGGAAGGCAGCAGGCGCGCAAATTACCCAATCCCGACACGGGGAGGTAGTGACAATAAATAACAATAGCGGGCCTTCAAGGTCTGCTAATTGGAATGAGTACAATTTAAATCCCTTAACGAGGAACAATTGGAGGGCAAGTCTGGTGCCAGCAGCCGCGGTAATTCCAGCTCCAAAAGCGTATATTAAAGTTGTTGCAGTTAAAAAGCTCGTAGTTGGATTTCGGGCGGCGCTGCGTGGTCCGTCGCAAGGCGTGCACTGTGCGGCGCTGTCTTCCTCTCGACGTCGGCGTGCGTCATTAACTTGGCGTGCGTCGGACTCGGGACGTTTACTTTGAAAAAATTAGAGTGTTCAAAGCAGGCAGTCGCTTGAATACATTAGCATGGAATAATGGAATAGGATTTCGGTTCTATTTCGTTGGTTTCTAGGACCGAGATAATGATTAATAGGGATAGTTGGGGGCATTAATATTTAATTGTCAGAGGTGAAATTCTTGGATTTATGAAAGATTAACTTCTGCGAAAGCATTTGCCAAGGATGTTTTCATTAATCAAGAACGAAAGTTAGGGGATCGAAGACGATCAGATACCGTCGTAGTCTTAACCATAAACTATGCCGACTAGGGATTGGCGGATGTTAATGATGACGCCGTCAGCACCTTATGAGAAATCAAAGTTTTTGGGTTCCGGGGGGAGTATGGTCGCAAGGCTGAAACTTAAAGGAATTGACGGAAGGGCACCACCAGGAGTGGAGCCTGCGGCTTAATTTGACTCAACACGGGGAAACTCACCAGGTCCAGACATAGTAAGGATTGACAGATTGATAGCTCTTTCTTGATTCTATGGGTGGTGGTGCATGGCCGTTCTTAGTTGGTGGAGTGATTTGTCTGGTTAATTCCGTTAACGAACGAGACCTTAACCTGCTAAATAGTTACGCCGTTCCCGAACGGTGGGCAACTTCTTAGAGGGACTATCGGTGGTTAGCCGATGGAAGTTTGAGGCAATAACAGGTCTGTGATGCCCCTAGATGTTCTGGGCCGCACGCGCGCTACACTGACGACGTCAGCGAGTTTATAACCTTCGCCGGAAGGCGTGGGTAATCTTGTGAACCGTCGTCGTGCTGGGGATAGATCCTTGCAATTCTCGATCTTCAACGAGGAATTCCTAGTAAGCGCAAGTCATCAGCTTGCGTTGATTACGTCCCTGCCCTTTGTACACACCGCCCGTCGCTACTACCGATTGAATGGTTTAGTGAGGTCTTGGGACTGGCGGCGCGGAGCTGGCAACAGCACTGCGTCGCCGGGAACTTGATCAAACTTGATCATTTAGAGGAAGTAAAAGTCGTAACAAGGTTTCCGTAGGTGAACCTGCG</t>
  </si>
  <si>
    <t>b557530762b72981bea76e1d4a997ee1c358c87e</t>
  </si>
  <si>
    <t>MAST-9</t>
  </si>
  <si>
    <t>TAGTCATACGCTTGTCTCAAAGATTAAGCCATGCATGTCTAAGTATAAATCTTTATACGGTGAAACTGCGAATGGCTCATTATATCAGTTATAGTTTATTTGATAGTCCCCAACTACTTGGATAACCGTAGTAATTCTAGAGCTAATACATGCGTCAAGGCCCAACTGCTTCGGCGGGCGGGCTGTATTTATTAGAGTTGAACCAGCCGCCTTCGGGTGTTTTTTGGTGAATCATGATAACTTTGCGAATCGTATGCTTCGGCGACGATGAATCATTCAAGTTTCTGCCCTATCAAGTGGCGATGGTAGGGTATTGGCCTACCATGCTAGTGACGGGTGACGGAGAATTAGGGTTCGATTCCGGAGAGGGAGCCTGAGAGACGGCTACCACATCTAAGGAAGGCAGCAGGCGCGTAAATTACCCAATCCTGACACGGGGAGGTAGTGACAATAAATAACAATACGGGGCTTTTCAAGTCTTGTAATTGGAATGAGAACAATTTAAATCCCTTATCGAGGATCAATTGGAGGGCAAGTCTGGTGCCAGCAGCCGCGGTAATTCCAGCTCCAATAGCGTATATTAAAGTTGTTGCAGTTAAAAAGCTCGTAGTTGGATTTCTGGCGTGCGACCCGGGTCGGCCCGAAATGGGTCTGTACTAGGAGTCGCGCGCCATCCTTGGGGCGAGGCGTTCTACCATTAACTTGGCGGTTCGTTGAGCCCCATCGTTTACTGTGAACAAATTAGAGTGTTTAAAGCAGGCATATGCCTTGAATACATTAGCATGGAATAATAAGATAGGACTTCGGTAATATTTTGTTGGTTCATTATTGAGGTAATGATTAATAGGGATAGTTGGGGGTATTCATATTCAATTGTCAGAGGTGAAATTCTTGGATTTATGGAAGATGAACAACTGCGAAAGCATTTACCAAGGATGTTTTCATTAATCAAGAACGAAAGTTAGGGGATCGAAGATGATTAGATACCATCGTAGTCTTAACCATAAACTATGCCGACTAGGGATTGGGCGGCGTTATTATATGACCCGCTCAGCACCTTATGAGAAATCAAAGTCTTTGGGTTCCGGGGGGAGTATGGTCGCAAGGCTGAAACTTAAAGGAATTGACGGAAGGGCACCACCAGGAGTGGAGCCTGCGGCTTAATTTGACTCAACACGGGAAAACTTACCAGGTCCGGACATAGTAAGGATTGACAGATTGAGAGCTCTTTCTTGATTCTATGGGTGGTGGTGCATGGCCGTTCTTAGTTGGTGGAGTGATTTGTCTGGTTAATTCCGTTAACGAACGAGACCTCAGCCTACTAAATAGGTCCGGTCATTATAATGGCCGGAGCTTCTTAGAGGGACTATCGATGTTTAATCGATGGAAGTTTGAGGCAATAACAGGTCTGTGATGCCCTTAGATGTTCTGGGCCGCACGCGCGCTACACTGATGCATTCAACAAGTTTTCACCCTTGGCCGAGAGGTCCGGGTAATCTTTGAACGTGCATCGTGATGGGGATAGGCCCTTGCAATTATTGGCCTTCAACGAGGAATTCCTAGTAAACGCGAGTCATCAGCTCGCATTGATTACGTCCCTGCCCTTTGTACACACCGCCCGTCGCACCTACCGATTGAATGGTCCGGTGAGCCGTTCGGACTCGCTTGGGTTTCCTTTACGGGAGACCCAGATGGGGAAGTTCTGCAAACCTTACCATTTAGAGGAAGGTGAAGTCGTAACAAGGTTTCCGTAG</t>
  </si>
  <si>
    <t>ASV_4463</t>
  </si>
  <si>
    <t>4d96316754_3_32</t>
  </si>
  <si>
    <t>fcba4a42c9e394c1366ea35290f06e5842debe13</t>
  </si>
  <si>
    <t>0384266028_79_6619</t>
  </si>
  <si>
    <t>Chlorarachnion reptans_99.2</t>
  </si>
  <si>
    <t>GATCCTGCCAGTAGTCATATGCTTGTCTCAAAGACTAAGCCATGCATGTCTAAGTATGAACAACTTTATACTGTGAAACTGCAGATGGCTCATTAAACCAGAAATAATTTTTTTGATGGTGACAAACTACATGGATAACCGTGGTAATTCTAGAGCTAATACATGCGTCGACACCGCAAGGTGGTATTTATTAGATCCGAACCAGCCCCTTCGGGGTTTCTTGGTGAATCATGATAACTGTTCGTATCGCCAGGCTCTGCCAGGCGAAAGTTCATTCAAATTTCTGCCCTATCAGCTATTGACGGTAGTGTAGTGGACTACCGTGGCTTTAACGGGTGACGGAGAATTAGGGTTCGATTCCGGAGAGGGAGCCTGAGAAACGGCTACCACATCCAAGGAAGGCAGCAGGCGCGCAAATTACCCAATCCCGACACGGGGAGGTAGTGACAAGAAATATGATGACTGTGCCCTTTGCGGCAGAGTCTTTCAAATGAGTGTAATGTAAATGCCTATGCGAGTATCCATTGGAGGGCAAGTCTGGTGCCAGCAGCCGCGGTAATTCCAGCTCCAATAGCGTATATTAATGTTGTTGCAGTTAAAAAGCTCGTAGTTGGATATCTGGCATTGCGTTGACGGCCCGCCTTAACGGGATGAGTGCTGGATTCGCTTGCCTATTTTCCGGTTGGCGTCGGTTCCCTTTACTGGGCGCCGTTCGCGATCCGGATCGTTTACTTTGAAGAAATTCGAGTGTTCAAAGCAGGCTTACGCCGTGAAGATTGCAGCATGGAATGATGACATAGAACTGTTGTGTTCTATTTTGTTGGTTCTGGGACCACAGTGATGATTGATAGGGACAGTTGGGGGTGCTGCTATTCCGCGGCCAGAGGTGAAATTCTCAGATTCCCGGAAGAGCAACTTATGCGAAAGCATTCACCAAAGATGTCTTCTTTAATCAAGAACGAAAGTTGGGGGATCGAAGACGATCAGATACCGTCGTAGTCTCAACCATAAACTATGCCGACTAGGGATTGGGGGACGTTGTTTTATCCGACTTCCTCAGCACCTTATGAGAAATCAAAGTCTTTGGGTTCCGGGGGGAGTATGGTCGCAAGGCTGAAACTTAAAGGAATTGACGGAAGGACACCACCAGAAGTGGAACTTGCGGCTTAATTTGACTCAACACGGGAAAACTTTCCAGGTCCAGACATAGTGAGGATTGACAGATTGAAGATCTTTCTTGATTCTATGGGTGGTGGTGCATGGCCGTTCTTAGTTGGTGGAGTGATTTGTCTGGTTAATTCCGTTAACGAACGAGACCTCGACCTGCTAAATAGCAGCGGTATCGATGCGTCGATGCGCGCGGCTTCTTAGAGGGACTATCGGATTCCAAACCGGTGGAAGTGCGAGGCAATAACAGGTCTGTGATGCCCTTAGATGTTCTGGGCCGCACGCGTGTTACACTGATGCGTTCATCAAGCTCCCCACCTTGGCTCGAGAGGCCTCGGTAATCTTGAAATCGCATCGTGCTAGGGACAGACCATTGTAATTTTTGGTCTCCAACGAGGAATTTCTAGTAAGCGCGAGTCATCAACTCGCATTGATTACGTCCCTGTCCTTTGTACACACCGCCCGTCGCTACTACCGATTGAATCATTTGGTGAGGTCCACGGACTGTCGTACTTTCTTCCTCGTGTTGATTGTACTTCTTGGGAAGTGGCACGAACCTGATGATTTAGAGGAAGTAAAAGTCGTAACAAGGTTTCCGTAGGTGAACCTGC</t>
  </si>
  <si>
    <t>ASV_9675</t>
  </si>
  <si>
    <t>702ac4bf6d57c8147292dd100b6540ee0e5e7b5f</t>
  </si>
  <si>
    <t>2fbcaa2202_2_43</t>
  </si>
  <si>
    <t>Tetraselmis sp. RCC 500 _99.3</t>
  </si>
  <si>
    <t>ACCTGGTTGATCCTGCCAGTAGTCATATGCTTGTCTCAAAGATTAAGCCATGCATGTCTAAGTATAAACTGCTTATACTGTGAAACTGCGAATGGCTCATTAAATCAGTTATAGTTTATTTGATGGTACCTACTACTCGGATAACCGTAGTAATTCTAGAGCTAATACGTGCGTAAATCCCGACTTCTGGAAGGGACGTATTTATTAGATTTAAGGCCAACCGAGCTTTGCTCGTCTCTTGGTGAATCATGATAACTTCACGAATCGCATGGCCTTTGCGCCGGCGATATTTCATTCAAATTTCTGCCCTATCAATTGGCGATGGTAGGATAGAGGCCTACCATGGTGTTAACGGGTGACGGGGGATTAGGGTTCGATTCCGGAGAGGGAGCCTGAGAAACGGCTACCACATCCAAGGAAGGCAGCAGGCGCGCAAATTACCCAATCCTGATACAGGGAGGTAGTGACAATAAATAACAATACCGGGCTTCTAAAGTCTGGTAATTGGAATGAGTACAATCTAAATCCCTTAACGAGGATCCATTGGAGGGCAAGTCTGGTGCCAGCAGCCGCGGTAATTCCAGCTCCAATAGCGTATATTTAAGTTGTTGCAGTTAAAAAGCTCGTAGTTGGATTTCGGGTGGGACCTGCCGGTCCGTCGTTGCGATGTGCACTGGCCGGTCCCATCTTGTTGTCGGGGACCAGCTCCTGGGCTTCACTGTCCGGGACTG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GCTTCTTAGAGGGACTATTGGCGTTTAGCTAATGGAAGTGTGAGGCAATAACAGGTCTATGATGCCCTTAGATATTATGGGCCGCACGCGCGCTACACTGATGCATTCAACGAGCCTAGCCTTGACCGAGAGGTCCGGGTAATCTTTGAAACTACATCGTAATGGGGCTAGATTATTGCAATTATTAATCTTCAACAAGGAATGCCTAGTAAGCGTGATTCATCAAATCGCGTTCATTACGTCCCTGCCCTTTGTACACACCGCCCGTCGCTCCTACCGATTGAGTGTGTTGGTGAGGAGCTCGGATTGGCAGCAGGTAGTGGTCCGCCACCCCCTTTTGCTGAGAAGTCCTCCAAACCGCCCCACTTAGAGGAAGGAGAAGTCGCAACAAGGTT</t>
  </si>
  <si>
    <t>ASV_335</t>
  </si>
  <si>
    <t>ed15f2febde32883a5c8d7c2fb284c40302ea6a1</t>
  </si>
  <si>
    <t>34c3934040_8_414</t>
  </si>
  <si>
    <t>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TGTTAGCCACGAGAACCTGTCTAAACCTTATCATTTAGAGGAAGGTGAAGTCGTAACAAGGTTTCCGTAGGTGAACCTGCGGAAGGATCA</t>
  </si>
  <si>
    <t>No V4 (1098-1789)</t>
  </si>
  <si>
    <t>Chrysochromulina scutellum_97.3</t>
  </si>
  <si>
    <t>TAGTCATATGCTTGTCTCAAAGATTAAGCCATGCATGTCTAAGTATAAACAAATTTGTACTGTGAAACTGCGAATGGCTCATTAAATCAGTTATGGTTTATTTGATGGTACCTACTACTTGGATAACCGTAGTAATTCTAGAGCTAATACATGCAGGAAGACCCGACTTCGGAAGGGTTGTATTTATTAGATAAGAAACCAATCCAGCTTGCTGGTTGTGTGCCGAGTCACAATAACTTTTCGAATCGCATGGCTTCAT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</si>
  <si>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GTTAAAAAGCTCGTAGTTGGACTTGTGGTTTGGGGTTGCGGTCCGCCTAACGTTGTGCACTGCGGCCTTTTACCTTCTTCCTGTAGGCCTATTGTGGTCTTAACTGATTGCTTTAGGAATATGGGACCTTTACTTTGAAAAAATTAGAGTGTTCAAAGCAGGCCTTCGCTTGAATACATTAGCATGGAATAATGGAATAGGACTTTGGTTCTATTTTGTTGGTTTCTAGGACCGAAGTAATGATTAATAGGGACGGTTGGGGGCATTAGTATTTAATTGTCAGAGGTGAAATTCTTGGATTTATGAAAGACTAACTACTGCGAAAGCATTTGCCAAGGATGTTTTCATTAATCAAGAACGAAAGTTAGGGGATCGAAGACGATCAGATACCGTCGTAGTCTTAACCATAAACTATGCCGACTTGGGATCGGTGGGGTTGATTTTAGCCCCATCGGCACCATATGAGAAATCAAAGTTTTTGGGTTCTGGGGGGAGTATGGTCGCAAGGCTGAAACTTAAAGGAATTGACGGAAGGGCACCACCAGGAGTGGAGCCTGCGGCTTAATTTGACTCAACACGGGGAAACTCACCAGGTCCAGACATAGTAAGGATTGACAGATTGAGAGCTCTTTCTTGATTCTATGGGTGGTGGTGCATGGCCGTTCTTAGTTGGTGGAGTGATTTGTCTGGTTAATTCCGTTAACGAACGAGACCTTAACCTGCTAAATAGTTACACGATTTTCGAATCGTGGGCAACTTCTTAGAGGGACTATCGGTGTTTAACCGATGGAAGTTTGAGGCAATAACAGGTCTGTGATGCCCTTAGATGTTCTGGGCCGCACGCGCGCTACACTGATGGGGACAACGAGTTTATAACCTGCACCGATAGGTGTGGGTAATCTTTTGAGCCCTCATCGTGTTGGGGATAGATCTTTGCAATTTTCGATCTTGAACGAGGAATTCCTAGTAAGCGTGATTCATCAGATCGCGTTGATTACGTCCCTGCCCTTTGTACACACCGCCCGTCGCTACTACCGATTGAATGGTTTAGTGAGGTCTCGGGATCCGCCTCTAGTTTCGGGCAACTGAAGCTTAGGGCAGAGAACTTGAACAAACTTGATCATTTAGAGGAAGTAAAAGTCGTAACAAGGTTTCCGTAGGTGAACCTGCGGAAGGATC</t>
  </si>
  <si>
    <t>TAGTCATACGCTCGTCTCAAAGATTAAGCCATGCATGTGTAAGTATAAACAAATTTATACTGTGAAACTGCGAACGGCTCATTATATCAGTTATAGTTTATTTGATAATATCTTACTACTTGGATAACCGTAGTAATTCTAGAGCTAATACATGCGTAAAGGGGTGACTTATGGGAGCCCTGTATTTATTAGATAACAACCAACAATTTTTGGTGAGTCATGATAACTTAGCGGATCGCAGAGGCATTTGCCGGCGACGAATCATTCAAGTTTCTGCCCTATCAGCTTTCGATGGTAGTGTATTGGACTACCATGGCATTAACGGGTAACGGAGGATCAGGGTTCGATTCCGGAGAGGGAGCCTGAGAGATGGCTACCACATCCAAGGAAGGCAGCAGGCGCGTAAATTACCCAATCCTAATTCAGGGAGGTAGTGACAATAAATATCAATGCGGGGCCCATGTGGTCTTGCTTTTGGAATGAGTACAATTTAAATCCCTTAACGAGGATCAATTGGAGGGCAAGTCTGGTGCCAGCAGCCGCGGTAATTCCAGCTCCAATAGCGTATATTAAAGTTGTTGCAGTTAAAAAGCTCGTAGTTGGATTTCTGACCAAAACTTCCGGTCCTGCGCTGTGCGTTGTGAACTGTGTAGGTTTTGGTCATCCTTGTGGGGAATTCAGTTTGACATTAAGTTGTCGGCTGGTGGAACCA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C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ACGACTTCTTAGAGGGACACTTGGCGTTTAGTCAAGGGAAGTTGGAGGCAATAACAGGTCTGTGATGCCCTTAGATGTTCTGGGCCGCACGCGCGCTACACTGATTCAATCAACGAGTTTATAACCTTGACCGAGAGGCCTGGGTAATCTTGTAAATCTGAATCGTGATGGGGATTGGTCCTTGTAACTCTTGACCATGAACGAGGAATTCCTAGTAAACGCGAGTCATCAGCTCGCATTGATTACGTCCCTGCCCTTTGTACACACCGCCCGTCGCACCTACCGATTGAATGGTCCGGTGAATCCTTCGGACAGCTGCAATTGTTCCACTTTATTGTGGAACGCTGCGGCTGGAAGTTGTGTAAACCTTACCATTTAGAGGAAGGTGAAGTCGTAACAAGGTTTCCGTAG</t>
  </si>
  <si>
    <t>ASV_2550</t>
  </si>
  <si>
    <t>35578c68f74fb24db526ff213ccc18429a97ce7f</t>
  </si>
  <si>
    <t>7c012690fa_2_68</t>
  </si>
  <si>
    <t>GGTCCACCGCAAGGTGAGCACTGTTTGTTTGGACCATCCTCTCGGAGGCGGTGAGTGCCATTAACTTGGTGTTTATCGAACCCGAGACCTTTACTTTGAAAAAATTAGAGTGTTCAAAGCAGGCCTACGCTTGAATACATTAGCATGGAATAATGGAATAGGACTTTGGTTCTATTTTGTTGGTTTCTAGGACCGAAGTAATGATTAATAGGGACAGTTGGGGGCATTCGTATTTAATTGTCAGAGGTGAAATTCTTGGATTTATGAAAGACGAACTACTGCGAAAGCATTTGCCAAGGATGTTTTCATTAATCAAGAACGAAAGTTAGGGGATCGAAGACGATCAGATACCGTCGTAGTCTTAACCATAAACTATGCCGACTCAGGATCATCGAGGTAAATTTTAGCCACGGTGGCACTGTCCGAGAAATCAAAGTTTTTGGGTTCTGGGGGGAGTATGGTCGCAAGGCTGAAACTTAAAGGAATTGACGGAAGGGCACCACCAGGAGTGGAGCCTGCGGCTTAATTTGACTCAACACGGGGAAACTCACCAGGTCCAGACATAGTAAGGATTGACAGATTGATAGCTCTTTCTTGATTCTATGGGTGGTGGTGCATGGCCGTTCTTAGTTGGTGGAGTGATTTGTCTGGTTAATTCCGTTAACGAACGAGACCTTAACCTGCTAAATAGTTACGCGAATTACGATTCGTGGGCAACTTCTTAGAGGGACTATCGGCGTTTAGTCGATGGAAGTTTGAGGCAATAACAGGTCTGTGATGCCCTTAGATGTTCTGGGCCGCACGCGCGCTACACTGACAGGGACAACGAGTTTACAACCTGCGCCGATAGGTGTGGGTAATCTTTTGAGCCCTTGTCGTGTTGGGGCTAGATCTTTGTAATTTTCGATCTCAAACGAGGAATTCCTAGTAAGCGTGATTCATCAGATCGCGTTGATTACGTCCCTGCCCTTTGTACACACCGCCCGTCGCTACTACCGATTGAACGGTTTAGTGAGATCTCGGGATTGGCCCGCCGTGACTGGCGACAGTCTGGCGGGCTGAGAACTTGCCCAAACTTGATCGTTTAGAGGAAGTAAAAGTCGTAACAAGGTTTCCGTAG</t>
  </si>
  <si>
    <t>ASV_3867</t>
  </si>
  <si>
    <t>0847129e77d58e222eb7e8e2fa152a52557a1574</t>
  </si>
  <si>
    <t>bfa67f7ca2_6_154</t>
  </si>
  <si>
    <t>Ciliophora</t>
  </si>
  <si>
    <t>TTGCAATGAACTAAATTTTTTTCCCTTGGTGAGGAGCCATTGGAGGGCAAGTCTGGTGCCAGCAGCCGCGGTAATTCCAGCTCCAATAGCATATATTAATGTTGTTGCAGTTAAAAAGCTCGTAGTTGGATTTCTGCAGGAGTGACAATGTCCGCCCGTGTGCGTGCGCAGCGGCGCCCCTGCATCCTTCGGTTACCTTCGCTCGGCATTCACTTGCCGGCGGTAGGCTCCGAATATTTACCTTGAGAAAATTAGAGTGTTTCAGGCAGGCTTAGCCGGAATACATTAGCATGGAATAATAGAATATGACTACAGGCTCTTTGTTGGTTCGAGGGACTGGAGTAATGATTAATAGGGATAGTTGGGGGCATTAGTATTTAATTGTCAGAGGTGAAATTCTCAGATTAACTAAAGACTAACTTATGCGAAAGCATTTGCCAAGGATGTTTTCATTAATCAAGAACGAAAGTTAGGGGATCAAAGACGATCAGATACCGTCCTAGTCTTAACCATAAACTATGCCAACTCGGGATCGGGGGCGTGTAATTATCAGCCTTCGGCACCGTATGAGAAATCAAAGTCTTTGGGTTCTGGGGAGAGTATGGTCGCAAGGTTGAAACTTAAAGGAATTGACGGAAGGGCACCACCAGGCGTGGAGCTTGCGGCTCAATTTGACTCAACACGGGAAAACTTACCAGGTCCAGACATAATAAGGATTGACAGATTGATAGCTCTTTCTTGATTCTATGGGTGGTGGTGCATGGCCGTTCTTAGTTGGTGGAGTGATTTGTCTGGTTAATTCCGTTAACGAACGAGACCTTTGCCTGCTAACTAGATTGGTCCATCTCGATGGACGCTTTCTTCTTAGAGGGACTTTGGGGGCTACAAACCTCAAGTAAGTTGGAGGCAATAACAGGTCTGTGATGCCCTTAGATGTCCTGGGCCGCACGCGTGCTACACTGACGCATACAGCGAGCACTTTCCTGTTCCGAGAGGCTACTGGTAATCATCAATATGCGTCGTGATGGTGATAGATCTTTGGAATTCTGGATCTTGAACGAGGAATGCCTAGTAATCGCAGGTCATTAGCCTGCGATGATTAAGTCCCTGCCCTTTGTACACACC</t>
  </si>
  <si>
    <t>ASV_2095</t>
  </si>
  <si>
    <t>de256ae301df4f155233b812bf75b687f67c0a9c</t>
  </si>
  <si>
    <t>54071b291f_14_1383</t>
  </si>
  <si>
    <t>Picomonas judraskeda_96.1</t>
  </si>
  <si>
    <t>GTGTGGTGT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</si>
  <si>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Little V4 (280 bp)</t>
  </si>
  <si>
    <t>MAST-1</t>
  </si>
  <si>
    <t>CCTGGTTGATCCTGCCAGTAGTCATACGCTCGTCTCAAAGATTAAGCCATGCACGTCTAAGTAAAAGCAACTTTACTGTGAAACTGCGAATGGCTCATTATATCAGTTATAGTCTACTTGATAGTACCTTACTACTTGGATACCCGTAGTAATTCTAGAGCTAATACATGCATAAATGCCCAACCTCTGGACGGGCTGCGTTTATTAGATTGAAACCAATAGCTTCGGCTTTTTCTGGTGAATCATAATAACTGTGCGGATCGCACGGGTTCATCCCGGCGACAAATCAATCGAGTTTCTGCCCTATCAGCTTTGGATGGTAGGGTATTGGCCTACCATGGCGTTAACGGGTAACGGAGAATTAGGGTTCGATTCCGGAGAGGGAGCCTGAGAAACGGCTACCACATCCAAGGAAGGCAGCAGGCGCGTAAATTACCCAATCCTGACACAGGGAGGTAGTGACAATAAATAACAATGCCGGGCTTTTTCAAGTCTGGCAATTGGAATGAGAACAATTTAAATCCCTTAACGAGTATCAATTGGAGGGCAAGTCTGGTGCCAGCAGCCGCGGTAATTCCAGCTCCAATAGCGTATATTAAAGTTGTTGCAGTTAAAAAGCTCGTAGTTGGATTTCTGGCAGGAGCGGCCGGTCCGCCCCGTAATGGGGTGTGCACTAGCGCCGCCTCCGGCCATCCTTGAGGGAACTGCCATGGCCTTAACTGGTTGTGGTATGGAACTCATCGTTTACTGTGAAAAAATTAGAGTGTTTAAAGCAGGCTTAGGCCGTTGAATACATTAGCATGGAATAATAAGATAGGACCTTATGGTCGTCTTGTTGGTTTGCACCGTAAGGTAATGATTAATAGGGATAGTTGGGGGTATTCGTATTTAATTGTCAGAGGTGAAATTCTTGGATTTATGAAAGACGAACTTCTGCGAAAGCATTTACCAAGGATGTTTTCATTAATCAAGAACGAAAGTTAGGGGATCGAAGATGATTAGATACCATCGTAGTCTTAACCATAAACTATGCCGACTAGGGATTGGCGGTCGTTCTTTTTATGACTCCGTCAGCACCTTATGAGAAATCAAAGTCTTTGGGTTCCGGGGGGAGTATGGTCGCAAGGCTGAAACTTAAAGGAATTGACGGAAGGGCACCACCAGGAGTGGAGCCTGCGGCTTAATTTGACTCAACACGGGAAAACTTACCAGGTCCAGACATAGTAAGGATTGACAGATTGAGAGCTCTTTCTTGATTCTATGGGTGGTGGTGCATGGCCGTTCTTAGTTGGTGGAGTGATTTGTCTGGTTAATTCCGTTAACGAACGAGACCGCCGCCTGCTAAATAGTGCTACGAATGCTTTGCATTGGTACGCAGCTTCTTAGAGGGACTTTCAGTGACTAACTGAAGGAAGTTGGCGGCAATAACAGGTCTGTGATGCCCTTAGATGTTCTGGGCCGCACGCGCGCTACACTGACACAATCAACGAGTTTATAACCTTGATCTAGCGGTCCGGGTAATCTTTTGAACCTGTGTCGTGATAGGGATAGATTATTGCAATTATTAATCTTCAACGAGGAATTCCTAGTAAACGTGAGTCATCAGCTCACATTGATTACGTCCCTGCCCTTTGTACACACCGCCCGTCGCACCTACCGATTGAATGATTCGGTGAAATCTCGGGACCGTGGATGTTGCCTTACGGCGCTTTCCGCGGGAACTTGCTTAAACCTCATCATTTAGAGGAAGGTGAAGTCGTAACAAGGTTTCCGTAGGTGAACCTGCGGAAGGATCA</t>
  </si>
  <si>
    <t>c853cd61bc8d2025f4fcc93e5ae97417e0d9b1ec</t>
  </si>
  <si>
    <t>db191e69d8_1_34</t>
  </si>
  <si>
    <t>Cryothecomonas longipes_87.1</t>
  </si>
  <si>
    <t>ACCTGGTTGATCCTGCCAGTAGTCATATGCTTGTCTCAAAGATTAAGCCATGCATGTCTAAGTATA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</t>
  </si>
  <si>
    <t>98d9954f382f2557cc41f2fa9188a964c6946c52</t>
  </si>
  <si>
    <t>a369264f21_16_410</t>
  </si>
  <si>
    <t>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C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AATCGTGATGGGGATAGTTCATTGTAATTGTTGAACTTAAACGAGGAATTCCTAGTAAACGTGAGTCATCAGCTCACATTGATTACGTCCCTGCCCTTTGTACACACCGCCCGTCGCACCTACCGATTGAATGGTCCGGTGAGACTTTCGGACCGCAGCGAAAGTTCGTTCATTCGAGCTTAGCATGCGGAAAGTTATTCAAACCTTACCATTTAGAGGAAGGTGAAGTCGTAACAAGGTTTCCGTAGGTGAACCTGCGGAAGGATCA</t>
  </si>
  <si>
    <t>607a7ba66af091daf3eb92631631191ebd06e98f</t>
  </si>
  <si>
    <t>2528b5b106_39_1877</t>
  </si>
  <si>
    <t>Picomonas judraskeda_96.9</t>
  </si>
  <si>
    <t>ACCTGGTTGATCCTGCCAGTAGTCATATGCTTGTCTCAAAGATTAAGCCATGCATGTCTAAGTATAAGCATTTATACTGTGAAACTGCGAATGGCTCATTAAATCAGTTATCGTTTATTTGATGATCTCTTGCTACTTGGATACCCGTGGTAATTCTAGAGCTAATACATGCGACAACACCCGACTTCTGGAAGGGTGGTATTTATTAGATAAAAAACCTTCTCGCTTCGGCGATGTCC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</si>
  <si>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T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AATTTTTTTTAAAAGTTGTGAACTTCTTAGAGGGACTATCGCTGTTTAAGCGGTGGAAGTTTGAGGCAATAACAGGTCTGTGATGCCCTTAGATGTTCTGGGCCGCACGCGCGCTACACTGATTCATGCAACGAGTTTTTTCCTTGGCTGAAAGGCCTGGGTAATCTTTGAACGTGAATCGTGCTGGGGATAGATGATTGCAATTATTCATCTTCAACGAGGAATTCCTAGTAAACGCAAGTCATCAGCTTGCATTGATTACGTCCCTGCCCTTTGTACACACCGCCCGTCGCACCTACCGATTGAATGGTCCGGTGAAATCTTCGGATCTGAGAGATGCTGGATTCATTTTTGGCGTCTTTTAGAAAAGTTGCTTAAACCTTATCATTTAGAGGAAGGTGAAGTCGTAACAAGGTTTCCGTAGGTGAACCTGCGGAAGGATCA</t>
  </si>
  <si>
    <t>Syracosphaera pulchra_96.1</t>
  </si>
  <si>
    <t>CCTGGTTGATCCTGCCAGTAGTCATATGCTTGTCTCAAAGATTAAGCCATGCATGTCTAAGTATAAGCGACTATACTGTGAAACTGCGAATGGCTCATTAAATCAGTTATGGTTTATTTGATGGTACCTTGCTACTTGGATAACCGTAGTAATTCTAGAGCTAATACATGCAGGACTTCCCGACTCACGAAGGGATGTATTTATTAGATAAGAAACCAAACCCCTCGGGGTTGTGTGCTGAGTCATAATAACTGCTCGAATCGCACGGCTCTACGCCGGCGATGGTTCATTCAAATTTCTGCCCTATCAGCTTTCGATGGTAGGATAGAGGCCTACCATGGCGTTTACGGGTAACGGAGAATTAGGGTTCGATTCCGGAGAGGGAGCCTGAGAAATGGCTACCACATCCAAGGAAGGCAGCAGGCGCGTAAATTGCCCGAATCCTGACACAGGGAGGTAGTGACAAGAAATAACAATACAGGGCCTTTTTGGTCTTGTAATTGGAATGAGTACAATTTACATCTCTTCACGAGGATCAATTGGAGGGCAAGTCTGGTGCCAGCAGCCGCGGTAATTCCAGCTCCAATAGCGTATATTAAAGTTGTTGCAGTTAAAACGCTCGTAGTCGGATTTCGGGGCGGGGCGGCCGGTCTGCCGATGGGTACGCACTGGTCGCCGCGCTCTTCTTGCCGGAGGCGGCCTACTCTTCACTGAGCGGGGTGCTCGGCACGTTTACTTTGAAAAAATCAGAGTGTTTCAAGCAGGCAGCTCGCTCTTGCATGGATTAGCATGGGATAATAAAATAGGACTTTGGTGCTATTTTGTTGGTTTCGAACACCAGAGTAATGATTAACAGGGACAGTCAGGGGCACTCGTATTCCGCCGAGAGAGGTGAAATTCTTAGACCAGCGGAAGACGAACAACTGCGAAAGCATTTGCCAGGGATGTTTTCACTGATCAAGAACGAAAGTTAGGGGATCGAAGACGATCAGATACCGTCGTAGTCTTAACCATAAACCATGCCGACTAGGGATTGGAGGGTGTTCCTTTTGAGACCCCTTCAGCACCTTTCGGGAAACTAAAGTCTTTGGGTTCCGGGGGGAGTATGGTCGCAAGGCTGAAACTTAAAGGAATTGACGGAAGGGCACCACAAGGGGTGGAGCCTGCGGCTTAATTTGACTCAACACGGGGAAACTTACCAGGTCCAGACATTGTGAGGATTGACAGATTGAGAGCTCTTTCTTGATTCGATGGGTGGTGGTGCATGGCCGTTCTTAGTTGGTGGAGTGATTTGTCTGGTTAATTCCGTTAACGAACGAGACCGCAGCCTGCTAAATAGTTACCCAAACCCTTTGTTTGGGCCGACTTCTTAGAGGGACAACTTGTCTTCAACAAGTGGAAGTTTGCGGCAATAACAGGTCTGTGATGCCCTTAGATGTTCTGGGCCGCACGCGCGCTACACTGATGCATTCAACGAGTCTACAACCTTGACCGAAAGGTCCGGGTAACCTAGAACCTGCATCGTGATGGGGATAGATTATTGCAACTATTAATCTTCAACGAGGAATCCCTAGTAAGCGCATGTCATCAGCGTGCGTTGATTACGTCCCTGCCCTTTGTACACACCGCCCGTCGCTCCTACCGATTGAATGATCCGGTGAGG</t>
  </si>
  <si>
    <t>2a849581cd435d1a3d55b366616032244f387d58</t>
  </si>
  <si>
    <t>4e61302627_7_604</t>
  </si>
  <si>
    <t>MAST-8</t>
  </si>
  <si>
    <t>GTCATACGCTTGTCTCAAAGATTAAGCCATGCATGTCTAAGTATAAGCAACTATACAGTGAAACTGCGAATGGCTCATTATATCAGTTATAGTTTATTTGATAGTACTTTACTACTTGGATAACCGTAGTAATTCTAGAGCTAATACATGCTTCGAAGCCCCAACTTCTGGACGGGGTGTATTTATTAGATAGAAACCAATGCAGGGCAACCTGGTATTGTGGTGAGTCATAATAACTTTGCGAATCGCATGGCCTTGCGCCGGCGATGAATCATTCAAGTTTCTGCCCTATCAGCTGTCGATGGTAGGGTATTGGCCTACCATGGCGTTAACGGGTAACGGAGAATTAGGGTTCGATTCCGGAGAGGGAGCCTGAGAGACGGCTACCACATCCAAGGAAGGCAGCAGGCGCGTAAATTACCCAATCCTGACACAGGGAGGTAGTGACAATAAATAACAAGTCCGGGCGCTTTCGCGTCTGGACATTGGAATGAGTTAATTTTAAATCCCAAAACGAGGATCAATTGGAGGGCAAGTCTGGTGCCAGCAGCCGCGGTAATTCCAGCTCCAATAGCGTATATTAAAGTTGTTGCAGTTAAAAAGCTCGTAGTTGGATTTCTGGCCGGGGCGACCGGTCGGCGCCCTAGCGGCGTGTGCACTGTCGTCGGCCCTGGCCATCTGCGTTCGGAGGGTCGCTGGCATTAAGTTGTCGGCGGTTTGACG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CCTCACGGATGGCGTGAG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TTTCATTAGGGACGCTGCCGCGGGAAGTTAATTAAACCTTACCATTTAGAGGAAGGTGAAGTCGTAACAAGGTATCC</t>
  </si>
  <si>
    <t>afec2e1f987605741fca10e436a14ebf02ee72ac</t>
  </si>
  <si>
    <t>f53f83a7bc_33_1534</t>
  </si>
  <si>
    <t>CCTGGTTGATCCTGCCAGTAGTCATACGCTCGTCTCAAAGATTAAGCCATGCATGTCTAAGTAAAAATGACTCTTTACTGTGAAACTGCGAACGGCTCATTATATCAGTTATAGTTTACTTGATAGTACCTTACTACTTGGATACCCGTAGTAATTCTAGAGCTAATACATGCATCAACTCCCAACTCACGACGGGACGCGTTTATTAGATCGAAACCCATATTTTTGGTGAATCATAATAACTGTGCGAATCGCATGGCCTTGCGCCGGCGATGAATCAATCAAGTTTCTGCCCTATCAGCTTTCGATGGTAGGGTATTGGCCTACCATGGCGGTAACGGGTAACGGAGAATTAGGGTTCGATTCCGGAGAGGGAGCCTGAGAAACGGCTACCACATCCAAGGAAGGCAGCAGGCGCGTAAATTACCCAATCCTGACACAGGGAGGTAGTGACAATAAATAACAATGCCGGGCTTTTTCAAGTCTGGCAATTGGAATGAGAACAATTTAAATCCCTTAACGAGGATCAATTGGAGGGCAAGTCTGGTGCCAGCAGCCGCGGTAATTCCAGCTCCAATAGCGTATATTAAAGTTGTTGCAGTTAAAAAGCTCGTAGTTGGATTTCTGGCAGGAGCGACCGGTCCGCCGCAAGGTGTGCACTAGGTCGTCTCCAGTCATCTTTGTGGGAACTGCTCTGGCATTAGGTTGTCGGGGTTAGGGAACACATCGTTTACTGTGAAAAAATTAGAGTGTTTAAAGCAGGCTTATGCCGTTGAATACATTAGCATGGAATAATAAGATAGGACTTTGGTGGTCTATTTTGTTGGTTTGCACACCAAGGTAATGATTAATAGGGATAGTTGGGGGTATTCGTATTTAATTGTCAGAGGTGAAATTCTTGGATTTATGAAAGACGAACTACTGCGAAAGCATTTACCAAAGATGTTTTCATTAATCAAGAACGAAAGTTAGGGGATCGAAGATGATTAGATACCATCGTAGTCTTAACCATAAACTATGCCGACTAGGGATTGGTGGTCGTTCATTATGACTCCATCAGCACCTTATGAGAAATCAAAGTCTTTGGGTTCCGGGGGGAGTATGGTCGCAAGGCTGAAACTTAAAGGAATTGACGGAAGGGCACCACCAGGAGTGGAGCCTGCGGCTTAATTTGACTCAACACGGGGAAACTTACCAGGTCCAGACATAGTAAGGATTGACAGATTGAGAGCTCTTTCTTGATTCTATGGGTGGTGGTGCATGGCCGTTCTTAGTTGGTGGAGTGATTTGTCTGGTTAATTCCGTTAACGAACGAGACCGTCGCCTGCTAAATAGTTACGCTAATGGCTTCGGCCATTGGTGGGCAACTTCTTAGAGGGACTTTTGGTGTTTAACCAAGGGAAGCTGACGGCAATAACAGGTCTGTGATGCCCTTAGATGTTCTGGGCCGCACGCGCGCTACACTGACACAATCAACGAGTTTATAACCTTGATCTAGCGGTCTGGGTAATCTCCAAACTGTGTCGTGTTAGGGATCGATTCTTGCAATTTTTAATCGTAAACGAGGAATTCCTAGTAAACGCAAGTCATCAGCTTGCATTGATTACGTCCCTGCCCTTTGTACACACCGCCCGTCGACTCTACCGATTGAATGGTTCGGTGAAAACTCCGGACCGTGGCATTGTCCTTCATTGGACTTTGCCGTGGGAAGTTGTTTAAACCTCATCATTTAGAGGAAGAATAAGTCGTAACAAGGTTTCCGTAGGTGAACCTGCGGAAGGATCA</t>
  </si>
  <si>
    <t>ddcb63b1cb7bbc42212e98c4c3bbbf34efa79e8d</t>
  </si>
  <si>
    <t>c5b3a53ff1_54_4734</t>
  </si>
  <si>
    <t>MALV-I</t>
  </si>
  <si>
    <t>TTTTGTCTTGTAATTGGAATGAGCACAATCTAAAAAGCTGTTCGAGTATCGATTGGAGGGCAAGTCTGGTGCCAGCAGCCGCGGTAATTCCAGCTCCAATAGCGTATATTAAAGTTGTTGCGGTTAAAAAGCTCGTAGTTGGAGTTCTGCCAGGTGCCGCCTGTCCGCCCCAGTGGTGAGTACGTGGCGCGCATTTGGCCCTTTCAAGGGGAGCGTATCTGCACTTT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</t>
  </si>
  <si>
    <t>94d245e715459723ad1567c5836fcbd402ec1e1d</t>
  </si>
  <si>
    <t>5477f8dc42_70_24093</t>
  </si>
  <si>
    <t>Monosiga brevicollis_89.5</t>
  </si>
  <si>
    <t>AACCAATTGGAGGGCAAGTCTGGTGCCAGCAGCCGCGGTAATTCCAGCTCCAATAGCGTATATTAAAGTTGTTGCAGTTAAAAAGCTCGTAGTTGGATTTCTGGGTCAGCGAGGCTGTCCGCCGAAAGGTGAGCACGGCTTTGCGAGCCCATCCTGAGTTAAGTGCCCATTGCTCTATGAGCTGTGGGTAACTAACTCATCTTTACTTTGAAAAAATTAGAGTGTTCAAAGCAGGCTTACGCTTGAATACATTAGCATGGAATAATGGAATAGGACTTTGGTCTTATTTTGTTGGTTTCTAAGACTAAAGTAATGATTAATAGGGACAGTTGGGGGCATTAGTATTTAATTGTCAGAGGTGAAATTCTTGGATTTATGAAAGACTAACTTCTGCGAAAGCATTTGCCAAGGATGTTTTCATTAATCAAGAACGAAAGTTAGGGGATCGAAGACGATCAGATACCGTCGTAGTCTTA</t>
  </si>
  <si>
    <t>4844e75f6ca6cb0d7af671f99e37d9de9809c199</t>
  </si>
  <si>
    <t>d47e794ea1_6_50</t>
  </si>
  <si>
    <t>ACGCTCGTCTCAAAGATTAAGCCATGCATGTCTAAGTATAAGCAACTTGTACTGTGAAACTGCGAATGGCTCATTATATCAGTTATAGTTTATTTGATAGTACTTCACTACTTGGATAACCGTAGTAATTCTAGAGCTAATACATGCGACAACTCCCGACTGCTTGCGGAAGGGACGTATTTATTAGATATAAACCAATGCGGGGGCAACCCCGGTGTTGTGGTGATTCATAATAACTCAGCGAATCGCATGGCCTTGCGCCGGCGATGAATCATTCAAGTTTCTGCCCTATCAGCTGTCGATGGTAAGGTATTGGCTTACCATGGCGTTAACGGGTGACGGAGAATTAGGGTTCGATTCCGGAGAGGGAGCCTGAGAGACGGCTACCACATCCAAGGAAGGCAGCAGGCGCGTAAATTACCCAATCCTGACACGGGGAGGTAGTGACAAGAAATAACAATACGGGGCTTCTACAAGTCTTGTAATTGGAATGAGTACAATGTAAAACTCTTAACGAGGATCCATTGGAGGGCAAGTCTGGTGCCAGCAGCCGCGGTAATTCCAGCTCCAATAGCGTATATTAAAGTTGTTGCAGTTAAAAAGCTCGTAGTTGGATTTCTGCCGGGAGCGTCATGTCTTTCGCCTTGTGCGACTGAACGTTGTCGTCTTTTGGCATCCTTGCGGAGATGCGTTTTGGCATTAAGTTGTCGGGGCGTGGATTCGCATCGTTTACTGTGAAAAAATTAGAGTGTTTAAAGCAGGCAATTGCTGTGAATACATTAGCATGGAATAATAAGATAGGACTTGTTGCTATTTTGTTGGTTTGCACGACAAGTAATGATTAACAGGAACAGTTGGGAGTATTCGTATTTAATTGTCAGAGGTGAAATTCTTGGATTTATGAAAGACGAACAACTGCGAAAGCATTTACTAAGGATGTTTTCATTAATCAAGAACGAAAGTTAGGGGATCGAAGATGATTAGATACCATCGTAGTCTTAACCATAAACTATGCCGACTAGGGATTAGCAGACGTTTTTTGAATGACTCTGTTAGCACCTTATGAGAAATCAAAGTCTTTGGGTTCCGGGGGGAGTATGGTCGCAAGGCTGAAACTTAAAGGAATTGACGGAAGGGCACCACCAGGAGTGGAGCCTGCGGCTTAATTTGACTCAACACGGGAAAACTTACCAGGTCCAGACATAGTAAGGATTGACAGATTGAGAGCTCTTTCTTGATTCTATGGGTGGTGGTGCATGGCCGTTCTTAGTTGGTGGAGTGATTTGTCTGGTTAATTCCGTTAACGAACGAGACCACCGCCTACTAAATAGTGGCGTCTTATTCGCGTAAGGCGTGGACTTCTTAGAGGGACATTTCGGTTTTACCGGAAGGAAGTTGGTGGCAATAACAGGTCTGTGATGCCCTTAGATGTTCTGGGCCGCACGCGCGCTACACTGACGAATTCAACGAGTTTATAACCTTGGCTGGGAGGCCTGGGTAATCTTGTAAACGTTCGTCGTGATGGGGATAGATTATTGCAATTGTTAATCTTCAACGAGGAATTCCTAGTAAACGCAAGTCATCAGCTTGCATTGATTACGTCCCTGCCCTTTGTACACACCGCCCGTCGCACCTACCGATTGAATGGTCCGGTGAATTCTTCGGACTTTGACTCTGCTTCGTTTTCGGACGAGACGTTGTCGAGGGAAGTTGATTAAACCTTACCATTTAG</t>
  </si>
  <si>
    <t>f935f294d2ae04625d3b591e254e1f8c2f0f3858</t>
  </si>
  <si>
    <t>74b25fc84e_15_2229</t>
  </si>
  <si>
    <t>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</t>
  </si>
  <si>
    <t>Little V4 (101 bp)</t>
  </si>
  <si>
    <t>Little V4 (121 bp)</t>
  </si>
  <si>
    <t>Pseudopedinella elastica_93.4</t>
  </si>
  <si>
    <t>GATCCTACCGCAGGTTCACCTACGGTAACCTTGTTACGACTTCACCTTCCTCTAAAGGCAAGGATTTGCACAAATTTTAAGCTGTGCCGCCCGTGAAGGCAGCGTCAACTCATCCTGAGGGCTCATCATTACCTTCGATCGGTAGGTGCGACGGGCGGTGTGTACAAAGGGCAGGGACGTAATCAATGCAAGCTGATGACTTGCGTTTACTAGGAATTCCTCGTTCAAGATTAATAATTGCAATAATCTATCCCTATCACGATACACGTTCACAGATTACCCAGGCCTCTCAACCAAGGTTCTATACTCGTTGCATGTATCAGTGTAGCGCGCGTGCGGCCCAGAACATCTAAGGGCATCACAGACCTGTTATTGCCCCCAACTTCCGTCAGATAGTCTCTGACAGTCCCTCTAAGAAGCGCACAGCAATGCGAAGCATTCCTGTCACTATTTAGCAGGCGGGGGTCTCGTTCGTTAACGGAATTAACCAGACAAATCACTCCACCAACTAAGAACGGCCATGCACCACCACCCATAGAATCAAGAAAGAGCTCTCAATCTGTCAATCCTTACTATGTCTGGACCTGGTAAGTTTCCCCGTGTTGAGTCAAATTAAGCCGCAGGCTCCACTCCTGGTGGTGCCCTTCCGTCAATTTCTTTAAGTTTCAGCCTTGCGACCATACTCCCCCCGGAACCCAAAGACTTTGATTTCTCATACGGTGCTGACGAAGCCATAAAAAAGCGATCGCCAATCCCGAGTCGGCATAGTTTATGGTTAGGACTACGAAGGTATCTAATCTTCTTCGATCCCCTAACTTTCGTTCTTGATTAATGAAAACATCCTTGGTAAATGCTTTCGCAGTAGTTCGTCTTCTATAAATCCAAGAATTTCACCTCTGACAATTGAATACGAATACCCCCAACTGCTCCTATTAATCATTACTTTGGCGTGCAAACCAACAAAATATCAAAAAGAACCACCAGAGTCCTATCTTATTATTCCATGCTAATGTATTCAAGAACACCTTGCTTTGAACACTCTAATTTGTTCACAGTAAACGACAGGCATCAAGCCACCGACAACTGAATGCCAGTGAAAAGAACACCTGAGGATGGCAGGTTGCGGCACACACGAGCCATTGCTGACCCGGATAGACGAACCGACCAGAAATCCAACTACGAGCTTTTTAACTGCAACAACATTAATATACGCTATTGGAGCTGGAATTACCGCGGCTGCTGGCACCAGACTTGCCCTCCAATTGATCCTCGATAAGGGATTTAAATTGTTCTCATTTCCAAAATAAGACCAGAATTGGCCCTAAACAGTTATTTTTTGTCACTACCTCCCTGAGTCAGGATTGGGTAATTTACGCGCCTGCTGCCTTCCTTGGATGTGGTAGCCGTCTCTCAGGCTCCCTCTCCGGAATCGAACCCTAATTCTCCGTTACCCGTTAAAGCCATGGTAGGCCAATACCCTACCATCCAAAGCTGATAGGGCAGAAACTTGAATGATCCATCGTCGGCACGAGGCCATACGATCCGCTAAATTATCATGACTCACCACAATACCGCCGAAGCGCATTGGTTTCTATCTAATAATGACACTCCATTGGAGCTTGACGCACGTATTAGCTCTAGAATTACTACGGGTATCCGAGTAGTAGGGGACTATCAAATAAACTATAACTGGTTTAATGAGCCGTACGCAGTTTCACAGTATAGATTCGTTTATACTTAGACATGCATGGCTTAATCTTTGAGACAAGCGTATGACTACTGGCAGAATCAACCAG</t>
  </si>
  <si>
    <t>4ec5c10b9a5d12b771dcd27a067170f81bc12620</t>
  </si>
  <si>
    <t>75262d8869_18_1287</t>
  </si>
  <si>
    <t>GAGGTAGTGACAATAAATAACAAGTCCGGGCGCTTTCGCGTCTGGACATTGGAATGAGTTAATTTTAAATCCCAAAACGAGGATCAATTGGAGGGCAAGTCTGGTGCCAGCAGCCGCGGTAATTCCAGCTCCAATAGCGTATATTAAAGTTGTTGCAGTTAAAAAGCTCGTAGTTGGATTTCTGGCCGGGGCGACCGGTCGGCGCCCTAGCGGCGTGTGCACTGTCGTCGGCCCTGGCCATCTGCGTTAGGACGGCCGCTGGCATTAAGTTGTCGGCGGTCTGACT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TCTCACGAATGGCGTGAT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CTTCATTGGGGACGCTGCCGCGGGAAGTTAATTAAACCTTACCATTTAGAGGAAGGTGAAGTCGTAACAAGGTATCC</t>
  </si>
  <si>
    <t>574c6fc29ab23c66bc68bf1021dae95e1d7a3230</t>
  </si>
  <si>
    <t>bdf7dd1701_19_1768</t>
  </si>
  <si>
    <t>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ATCTGGCCCTTTCAAGGGGAACGTGTTGCACTTTATTGTGTGGCGCGAGATCCTTGACTTTTACTTTGAGGAAATAAGAGTGTTCCAAGCAGGCTCTCGTCGTGCATAGCTCAGCATGGAATAATAGCATTGGACTTCGTTTCTACGCTGTTGGTTGCAAGAAGCGAGGTAATGATGAAGAGGGATAGTTGGGGGCATTCGTATTTAACTGTCAGAGGTGAAATTCTTGGATTTGTTAAAGACGGACTACTGCGAAAGCATCTGCCATGGATGTTTTCATTGATCAAGAACGAAAGTTAGGGGATCGAAGACGATCAGATACCGTCCTAGTCTTAACTATAAACCATGCCGGCTAGAGATCGGAGGTCGTTCAATTTGTGACACCTTCAGCATCTTGAGAGAAATCAAAGCCTTTGGGTTCCGGGGGGAGTATGGTCGCAAGGCTGAAACTTAAAGGAATTGACGGAAGGGCACCACCAGGAGTGGAGCCTGCGGCTTAATTTGACTCAACACGGGGAAACTTACCAGGTCCGGACTTAGTAAGGATGTACAGATTGATAGCTCTTTACAGATTCTAAGGGTGGTGGTGCATGGCCGTTCTTAGTTGGTGGAGTGATTTGTCTGGTTAATTCCGTTAACGAACGAGACCTTAACCTGCTAAATAGTGCTGAGTTTCTTTTCGAAACGAAGGTATCTTCTTAGAGGGACGTCACGTGTCTAACGTGAGGAGGTGTGAGGCAATAACAGGTCTGTGATGCCCTTAGATGTTCTGGGCCGCACGCGCGCTACACTGATGCATTCAACGAGTTTTTCCTGGTCCGAGAGGAATGGGTAACCTTTTGAAAGTGCATCGTGCTAGGGATAGACTATTGCAATTATTGGTCTTCAACGAGGAATTCCTAGTGTAGTTCATCAGACTGCAGATTACGTCCCTGCCCTTTGTACACACCGCCCGTCGCTCCTACCGATTGGATGATCCGGTGAGCTATTCGGACCTCCACTTTATATTTTCTTGTGAGGGAAAGTCTCGCGAACCTTATCATCTAGAGGAAGGAGAAGTCGTAACAAGGTTTCCGTAGGTGAACCTGCGGAAGGATC</t>
  </si>
  <si>
    <t>a64aec8c5855600c3a9f190eb0bb1a04b72c05e1</t>
  </si>
  <si>
    <t>af6b37cf8d_32_13343</t>
  </si>
  <si>
    <t>MALV-II</t>
  </si>
  <si>
    <t>CCTGGTTGATCCTGCCAGTAGTCATATGCTTGTCTCAAAGATTAAGCCATGCATGTCTCAGTATAAGTCTTTACACGGCGAAACTGCGAATGGCTCATTAAAACAGTTATAATCTACTCGACGGCCAACAGTTATATGGATAACTGCGGTAATTCTGGAGCTAATACATGCGTAATGACCCGACTTCTTGGAAGGGTCGTATTTATTAGATACAGAACCAATAGCTTCGGCTTTTTTGGATGATTCATAATAAACGAACGGAGCGTATAGCTTTGCTGACGCTGTGTCGATCGAATTTCTGACCTATCAGCTTTCGACGGTAAGGTAGTGGCTTACCGTGGCATTGACGGGTAACGGAGAATTAGGGTTCGATTCCGGAGAGGGAGCCCGAGAAACGGCTACCACATCTAAGGAAGGCAGCAGGCGCGCAAATTACCCAATCCTGACGCAGGGAGGTAGTGACAAGAAGTAACAAAGCAAGCGGCCTAGCCGTTTTGTTATTGGAATGAGTAGAATTTAAATCCCTTTTCGACTATCAATTGGAGGGCAAGTCTGGTGCCAGCAGCCGCGGTAATTCCAGCTCCAATAGCGTATATTAAAGTTGTTGCGGTTAAAAAGCTCGTAGTTGGATTTCTTCTCTTGTCA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AGGATTGACAGATTGATAGCTCTTTCTTGATTCTATGGGTGGTGGTGCATGGCCGTTCTTAGTTGGTGGAGTGATTTGTCTGGTTAATTCCGTTAACGAACGAGACCGTAACCTGCTAAATAGCTTGAACTTTCTTCGGAAAGTTCCCAAGCTTCTTAGAGGGACTTTGTAGACTTAACTGCAAGGAAGTTTGCGGCAATAACAGGTCTGTGATGCCCTTAGATGTTCTAGGCTGCACGCGCGCTACACTGATACGATCAACGAGTATATCACCTTGCTCGATAGAGTTGGGTAATCTTCTGAAATCGTATCGTGATGGGGATAGATTATTGTAATTATTAATCTTCAACGAGGAATTCCTAGTATGTGCGGATCATCAGTTCGCGCAGATTACGTCCCTGCCCTTTGTACACACCGCCCGTCGCTCCTACCGATTGAGTGATCCGGTGAGTTATTTGGACTGAGTTGTTTGGGGCAACCCTTGTAACTTAGAAAATCTCGCAAACCTTATCACTTAGAGGAAGGAGAAGTCGTAACAAGGTTTCCGTAGGTGAACCTGCGGAAGGATC</t>
  </si>
  <si>
    <t>37a9e8bc5a0fc30a92e898d61b1ab0c99ef1852e</t>
  </si>
  <si>
    <t>f6629c9e5c_27_875</t>
  </si>
  <si>
    <t>ACCTGGTTGATCCTGCCAGTAGTCATATGCTTGTCTCAAAGATTAAGCCATGCATGTCTCAGTATAAGTGTTTCACTGCGAAACTGCGAATGGCTCATTAAAACAGTTATAGTTTCCATGAAAGTTGATTATTACCTGGATATCCACGGTAATTCTAGAGCTAATACATGCGTCCAGACCCGACTTTGCGGAAGGGTTGTGCTTATTAGACACTGAACCATCCCAGGCTTGCCTGGTTTCGAGGTGATTGATGGTAATCGAACGAATCGTATGCTTCGGCGACGATGATTCATTCAAGTTTCTGACCTATCAGCTTCCGACGGTAGGGTATTGGCCTACCGTGGCTTTGACGGGTAACGGAGAATTAGGGTTTGATTCCGGAGAGGGAGCCTGAGAAACGGCTACCACATCTAAGGAAGGCAGCAGGCGCGCAAATTACCCAATCCTGACACAGGGAGGTAGTGACAAGAAATACCAATATGAGGCTATTTTGTCTTGTAATTGGAATGAGCACAATTTAAAAAGCTGTTCGAGTATCGTGGAGGGCAAGTCTGGTGCCAGCAGCCGCGGTAATTCCAGCTCCAATAGCGTATATTAAAGTTGTTGCGGTTAAAAAGCTCGTAGTTGGAGTTCTGCCAGGTGCCGCCTGTCCGCCCCAGTGGTGAGTACGTGGCGCGCATTTGGCCCTTTCAAGGGGAGCGTATCTGCACTTAACTGTGTGGTGCGGGATCCTTGACTTTTACTTTGAGGAAATAAGAGTGTTCCAAGCAGGCTCTCGTCGTGCATAGCTCAGCATGGAATAATAGCATTGGACCTCGATTCTAAGCTGTTGGTTGCCAGAAACGAGGTAATGATGAAGAGGGATAGTTGGGGGCATTCGTATTTAACTGTCAGAGGTGAAATTCTTGGATTTGTTAAAGACGA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CTCCCTTGTCCGACAGGAATGGGTAACCTTTTGAAAGTGCATCGTGATAGGGATAGACTATTGCAATTATTGGTCTTCAACGAGGAATTCCTAGTAGACGTAGTTCATCAGACTGCATCGATTACGTCCCTGCCCTTTGTACACACCGCCCGTCGCTCCTACCGATTGAATGCTCAGGTGAGCCTTTCGGACCTCCATCGTGTCGGTTTATTTCGATGGAGGGAAGTCATGCGAACCTTATCATTTAGAGGAAGGAGAAGTCGTAACAAGGTTTCCGTAGGTGAACCTGCGGAAGGATC</t>
  </si>
  <si>
    <t>4af499a78664238f032f64166b1b0186f6bbb333</t>
  </si>
  <si>
    <t>b3c46862de_4_1235</t>
  </si>
  <si>
    <t>ACCTGGTTGATCCTGCCAGTAGTCATATGCTTGTCTCAAAGATTAAGCCATGCATGTCTCAGTATAAGTTACATGTCGAAACTGCGAATGGCTCATTAAAACAGTTATAGTTTATTTGATGGTCACTCGTTATTTGGATAACTGTGGTAATTCTAGAGCTAATACATGCACAAAAACGCGACTTCTCGGAAGCGTTGTATTTATTAGATACAGAACCAATCGGGCAACCGTTGTTGGATGATTCATGATAAATGTACGGAGCGAATGGCTTGTGCCGTCGCTGTGTCATTCAAGTTTCTGACCTATCAGCTTTCGACGGTAGGGTATTGGCCTACTGTGGCATTGACGGGTAACGGAGAATTAGGGTTCGATTCCGGAGAGGGAGCCCGAGAAACGGCTACCACATCTAAGGAAGGCAGCAGGCGCGCAAATTACCCAATCACGACACGTGGAGGTAGTGACAAGAAATAACAAAGCAAGCCCGTATTCGGGTTTTGCTATTGGAATGAGTAGAATTTAAATCTCTTTACGACTATCAATTGGAGGGCAAGTCTGGTGCCAGCAGCCGCGGTAATTCCAGCTCCAATAGCGTATATTAAAGTTGTTGCGGTTAAAAAGCTCGTAGTTGGATTTCTGTTGAGGACGTCGTCCGCACTATGTGCGTGTATCTGGTTCGGCCTTGGCATCCTCTTGAGGAACGTTACTGCGCTTGACTGCGTGGTGCGGTATTCAAGACTTTTACTTTGAGGAAATTAGAGTGTTCACGGCAGGCAAGCGCCTTGAATACGTTAGCATGGAATAATAATATAGGATCTTGGTTCTATTTTGTTGGTTTCTAGGGCTGAGGTAATGATTAATAGGGATAATTGGGGGCATTTGTATTAACGCGTCAGAGGTGGAATTCTTGGATTGCGTTACGACAAACTACTGCGAAAGCATTTGCCAAGGATGTTTTCATTGATCAAGAACGAAAGTATGGGGATCGAAGATGATTAGATACCGTCGTAGTCTATACCATAAACTATGCCGACTAGGGATTGGAGGTCGTTCTTTTTATGACTCCTTCAGCACCNNATGAGAAATCAAAGTCTTTGGGTTCCGGGGGGAGTATAGTCGCAAGGCTGAAACTTAAAGGAATTGACGGAAGGGCACCACCAGGAGTGGAGCCTGCGGCTTAATTTGACTCAACACGGGGAAACTCACCAGGTCCAGACATAGTAAGGATTGACAGATTGATAGCTCTTTCTTGATTCTATGGGTGGTGGTGCATGGCCGTTCTTAGTTGGTGGAGTGATTTGTCTGGTTTATTTCGATAACGAACGAGATCTTAACCTGCTAAATAGTAATACGTATCTCCGGATATGTAAATACTTCTTAGAGGGACTTTGTGGTTTCAACTGCAAGGAAGTTTGAGGCAATAACAGGTCTGTGATGCCCTTAGATGTTCTGGGCTGCACGCGCGCTACACTGATGCACTCAACGAGTTTATAACCTTGCCCGGTAGGGTTGGGTAATCTTTTGAAAGCGCATCGTGATGGGGATAGATTATTGTAATTATTAATCTTCAACGAGGAATTCCTAGTAAGCGCTAGTCATCAGCTAGTGCTGATTACGTCCCTGCCCTTTGTACACACCGCCCGTCGCTGCCTCCGATTGAGTGATCCGGTGAATAATTCGGACTGGGACTTTGATTGGTTCGCCGATCTTTGTTCTGGGAAGTCTAGTAAACCTTATCACTTAGAGGAAGCAAAAGTCGTAACAAGGTTTCCGTAGGTGAACCTGCGGAAGGATC</t>
  </si>
  <si>
    <t>b2fa5b4a32c1871183049f1577cb49aeed32723d</t>
  </si>
  <si>
    <t>MAST-8D_sp15</t>
  </si>
  <si>
    <t>CTGGTTGATCCTGCCAGTAGTCATACGCTTGTCTCAAAGATTAAGCCATGCATGTCTAAGTATAAACAATTATACAGTGAAACTGCGAATGGCTCATTATATCAGTTATAGTTTATTTGATAGTACCTTACTACTTGGATAACCGTAGTAATTCTAGAGCTAATACATGCTTCGAAATCTCAACTGCCTCGGCGGACGAGATGTATTTATTAGATAGAAACCAATGCGTCCTTTGGGGGTATTGTGGTGAGTCATAATAACTTTGCGAATCGTATGACCTTGCGTCGGCGATGAATCATTCAAGTTTCTGCCCTATCAGCTGTCGATGGTAGGGTATTGGCCTACCATGGCGTTAACGGGTAACGGAGAATTAGGGTTCGATTCCGGAGAGGGAGCCTGAGAGACGGCTACCACATCCAAGGAAGGCAGCAGGCGCGTAAATTACCCAATCCTGACACAGGGAGGTAGTGACAATAAATAACAATACGGGGCTCTTTCGAGTCTTGTAATTGGAATGAGTACAATTTAAATCCCTTAACGAGGATCAATTGGAGGGCAAGTCTGGTGCCAGCAGCCGCGGTAATTCCAGCTCCAATAGCGTATATTAAAGTTGTTGCAGTTAAAAAGCTCGTAGTTGGATTTCTGAGGGGAGCGACCGGTCGGCACCCTAGTGGTGTGTGCACTGTTCAGCTCTCTTCATCCTGGTCGAAATGGTCGCTGTTCTTCATTGAATGGCGTTCGGATCGGCCACATTTACTGTGAAAAAATTAGAGTGTTTAAAGCAGGCGATCGCTGTGAATACATTAGCATGGAATAATAAGATAGGACTTTGGTACTATTTTGTTGGTTTGCGCACCAAGGTAATGATTAATAGGGATAGTTGGGGGTATTCATATTCAATTGTCAGAGGTGAAATTCTTGGATTTATGGAAGATGAACTTATGCGAAAGCATTTACCAAGGATGTTTTCATTAATCAAGAACGAAAGTTAGGGGATCGAAGATGATTAGATACCATCGTAGTCTTAACCATAAACTATGCCGACTCGGGATTGGGCGTTGTTGTTTTGATGACTCGCTCAGCACCGTATGAGAAATCAAAGTCTTTGGGTTCCGGGGGGAGTATGGTCGCAAGGCTGAAACTTAAAGGAATTGACGGAAGGGCACCACCAGGAGTGGAGCCTGCGGCTTAATTTGACTCAACACGGGAAAACTTACCAGGTCCAGACATAGTAAGGATTGACAGATTGATAGCTCTTTCTTGATTCTATGGGTGGTGGTGCATGGCCGTTCTTAGTTGGTGGAGTGATTTGTCTGGTTGATTCCGTTAACGAACGAGACCTCAGCCTGCTAAATAGCTGCGCGATTCTCACGAATGGCGTATATACTTCTTAGAGGGACTGTCGGTGCTTAGCCGACGGAAGCGTGAGGCGATAACAGGTCTGTGATGCCCTTAGATGTTCTGGGCCGCACGCGCGCTACACTGATGCGTGCAGCGAGCATATACTTGGCTGAGAGGCTCTGGGTAATCTTGTGAACGCGCATCGTGATGGGGATAGATGATTGCAATTATTCATCTTCAACGAGGAATTCCTAGTAAACGCAAGTCATCAGCTTGCATTGATTACGTCCCTGCCCTTTGTACACACCGCCCGTCGCACCTACCGATTGAATGGTCCGGTGAAATTCTTGGACTGTGGCAATGTTCCCTTTATTGGGACGCTACCGCGGAAAGTGAATTAAACCTTACCATTTAGAGGAAGGTGAAGTCGTAACAAGGTATCCGTAGGTGAACCTGCGGATGGATCA</t>
  </si>
  <si>
    <t>02d04423355754aafd9a8d631d3a45aaae85cd6b</t>
  </si>
  <si>
    <t>Pseudopedinella elastica_93.0</t>
  </si>
  <si>
    <t>AATTACCCAATCCTGACTCAGGGAGGTAGTGACAAAAAATAACTGTTTACGGCCATTTTTGGTCGTATTTTGGAAATGAGAACAATTTAAATCCCTTATCGAGGATCAATTGGAGGGCAAGTCTGGTGCCAGCAGCCGCGGTAATTCCAGCTCCAATAGCGTATATTAATGTTGTTGCAGTTAAAAAGCTCGTAGTTGGATTTCTGATCGGTTCGGTTATCCGGGTCCGCAGATCCGTGTGTATCGTAACCTGTCATCCTCAGGGGGAGACTTCACTGGCATTCAGTTGTCGGTGTGTCGACGCCTGTCGTTTACTGTGAACAAATTAGAGTGTTCAAAGCAAGGTGTTCTTGAATACATTAGCATGGAATAATAAGATAGGACTCTGTCGGTTCTTTTTGATATTTTGTTGGTTTGCACGCCAGAGTAATGATTAATAGGAGCAGTTGGGGGTATTCGTATTCAATTGTCAGAGGTGAAATTCTTGGATTTATAGAAGACGAACTACTGCGAAAGCATTTACCAAGGATGTTTTCATTAATCAAGAACGAAAGTTAGGGGATCGAAGAAGATTAGATACCTTCGTAGTCCTAACCATAAACTATGCCGACTCGGGATTGGCGGAGTACTTTTTGTCTCCGTCAGCACCGTATGAGAAATCAAAGTCTTTGGGTTCCGGGGGGAGTATGGTCGCAAGGCTGAAACTTAAAGAAATTGACGGAAGGGCACCACCAGGAGTGGAGCCTGCGGCTTAATTTGACTCAACACGGGGAAACTTACCAGGTCCAGACATAGTAAGGATTGACAGATTGAGAGCTCTTTCTTGATTCTATGGGTGGTGGTGCATGGCCGTTCTTAGTTGGTGGAGTGATTTGTCTGGTTAATTCCGTTAACGAACGAGACCCCCGCCTGCTAAATAGCGACGAGAATGCTTCGCATTGTCGGAACGCTTCTTAGAGGGACTGTCGGAGACTATCCGACGGAAGTTGGGGGCAATAACAGGTCTGTGATGCCCTTAGATGTTCTGGGCCGCACGCGCGCTACACTGATGCATGCAACGAGTCTAGAACCTTGGCCGAGAGGCCTGGGTAATCTGTGAACGTGCATCGTGATAGGGATAGATTATTGCAATTATTAATCTTGAACGAGGAATTCCTAGTAAACGCAAGTCATCAGCTTGCATTGATTACGTCCCTGCCCTTTGTACACACCGCCCGTCGCACCTACCGATCGAAGGTAATGATGAGCCCTCAGGAGTTTTGTGTTTCCTTCACGGGTTACCAAGACTGAAATTTGTGCAAATCCTTGCCTTTAGAGGAAGGTGAAGTCGTAACAAGGTTACCGTAGGTGAACCTGCGGTAGGATC</t>
  </si>
  <si>
    <t>c9e32e8d9205088ebc2d96b71888c5fa8505a609</t>
  </si>
  <si>
    <t>be6951973d_27_1649</t>
  </si>
  <si>
    <t>Pseudopedinella elastica_94.8</t>
  </si>
  <si>
    <t>CAGCACCGTATGAGAAATCAAAGTCTTTGGGTTCCGGGGGGAGTATGGTCGCAAGGCTGAAACTTAAAGAAATTGACGGAAGGGCACCACCAGGAGTGGAGCCTGCGGCTTAATTTGACTCAACACGGGGAAACTTACCAGGTCCAGACATAGTAAGGATTGACAGATTGAGAGCTCTTTCTTGATTCTATGGGTGGTGGTGCATGGCCGTTCTTAGTTGGTGGAGTGATTTGTCTGGTTAATTCCGTTAACGAACGAGACCCCCGCCTGCTAAATAGTGGGGCGAATGCTTCGCATTGGCCTAACGCTTCTTAGAGGGACTGTCAGAGACTATCTGACGGAAGTTGGGGGCAATAACAGGTCTGTGATGCCCTTAGATGTTCTGGGCCGCACGCGCGCTACACTGATGCATGCAACGAGTATAGAACCTTGGCCGAGAGGCCTGGGTAATCTGTGAACGTGCATCGTGATAGGGATAGATTATTGCAATTATTAATCTTGAACGAGGAATTCCTAGTAAACGCAAGTCATCAGCTTGCATTGATTACGTCCCTGCCCTTTGTACACACCGCCCGTCGCACCTACCGATCGAAGGTAATGATGAGCCCTCAGGACAGTCTTCTGTTCGTCACGGCTTACTGATCTGAAATTTGTGCAAATCCTTGCCTTTAGAGGAAGGTGAAGTCGTAACAAGGTTACCGTAGGTGAACCTGCGGTAGGATCA</t>
  </si>
  <si>
    <t>Little V4 (75 bp)</t>
  </si>
  <si>
    <t>Little V4 (86 bp)</t>
  </si>
  <si>
    <t>Paraphysomonas imperforata_91.9</t>
  </si>
  <si>
    <t>ACCTGGTTGATTCTGCCAGTAGCATACGCTTGTCTCAAAGATTAAGCCATGCATGTCTAAGTATAAACAAATCTATACGTGAAACTGCGAATGGCTCATTATATCAGTTATAGTTTATTTGATGGTCCTTACTACTTGGATAACCGTAGTAATTCTAGAGCTAATACATGCACCAAAGCTCGACTCACGAAGAGCTGTATTTATTAGATGGAAACCAATGCGGGTTCGCCCGGATTTAGGTGATTCATAATAACTTTCGGATCGGCTTGCCGATGCATCATTCAAGTTTCTGCCCTATCAGGTCTGGATGGTAGGGTATTGGCCTACCATGCCTTTAACGGGTAACGGAGAATTAGGGTTCGATTCCGGAGAGGGGGCCTGAGAAATGGCCACCACATCCAAGGAAGGCAGCAGGCGCGTAAATTACCCAATCCTGACACAGGGAGGTAGTGACAATAAATAACATCGCAGGGCCTTTTCGGGTCTTGCGTTAGGAATGAGAACAATTTAAACCCCTTATCGAGGATCAATTGGAGGGCAAGTCTGGTGCCAGCAGCCGCGGTAATTCCAGCTCCAATAGCGTATACTAAAGTTGTTGCAGTTAAAAAGCTCGTAGTTGAATTTCTGGATGCGAAAGATGGTCGGCACCTCACGGTGTCTGCACCTATCATTCGCGTTCATCCTCGGGAGGAACGTGTTGTCTCTTTAGTGAGCCGGCTCGGGAATCTCGTCATTTACTGTGAGCAAAATAGAGTGTTCAAAGCAGGCTTATGCCGTTGAATATATTAGCATGGAATAATAAGATACGACTTTGGTCTATTTTGTTGGTTTGCATTCCAAAGTAATGATTAATAGGGATAGTTGGGGGTATTCGTATTCAATTGTCAGAGGTGAAATTCTTGGATTTATGGAAGACGAACTACTGCGAAAGCATTTACCAAGGATGTTTTCATTAATCAAGAACGAAAGTTAGGGGATCGAAGATGATTAGATAGCGGCGAGGCTTAAGATATACTCCGGCCCACATGAAAGTGTGCCTGTGGAAGAAGGCGACTCGACAATCGCAGGAGCCAGAGGACGGCAACACTTTAGGGTGTTGCCCGGAGGGTGACCATGGCATTTAAATTAAAAAGATTAAATGTTAGGGATCCAGAAAAGCGGGAGCNTGCGGN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CCGCTTGTCCGAAAGGTCY</t>
  </si>
  <si>
    <t>a35cbbae65_10_379</t>
  </si>
  <si>
    <t>GGATTTCTTCTCTTGTCN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NGGANTGACAGATTGATAGCTCTTTCTTGATTCTATGGGTG</t>
  </si>
  <si>
    <t>AACCTGGTTGACTGCCAGTAGTCATATGTGTCAAAGATTAAGCCATGCATGTCTCAGTATAAGTCTTTACATGTCGAAACTGCGAATGGCTCATTAAAACAGTTATAGTTTATTTGATGGTCACTCGTTATTTGGATAACTGTGGTAATTCTAGAGCTAATACATGCACAAAACCGCGACTTCTTGGAAGCGGTGTATTTATTAGATACGGAACCAATCGGGCAACCGTTGTTGGATGATTCATGATAAATGTACGGAGCGTATGGCTTGTGCCGACGCTGTATCATTCAAGTTTCTGACCTATCAGCTTTCGACGGTAGGGTATTGGCCTACCGTGGCATTGACGGGTAACGGAGAATTAGGGTTCGATTCCGGAGAGGGAGCCCGAGAAACGGCTACCACATCTAAGGAAGGCAGCAGGCGCGCAAATTACCCAATCACGACACGTGGAGGTAGTGACAAGAAATAACAAAGCAAGCCAGTATTCTGGTTTTGCTATTGGAATGAGTAGAATTTAAATCTCTTTACGACTATCAATTGGAGGGCAAGTCTGGTGCCAGCAGCCGCGGTAATTCCAGCTCCAATAGCGTATATTAAAGTTGTTGCGGTTAAAAAGCTCGTAGTTGGATTTCTGTTGAGGACGGCCGGTCCGCACTATGTGCGTGTATCTGGTTCGGCCTTGGCATCCTCTTGAGGAACGTTCCTGCGCTTGATTGCGTGGGGCGGTATTCAAGACTTTTACTTTGAGGAAATTAGAGTGTTCACGGCAGGCAAGCGCCTTGAATACATTAGCATGGAATAATAATATAGGATCTTGGTTCTATTTGTTGGTTTCTAGGGCTAAGGTAATGATTAATAGGGATAATTGGGGGCATTTGTATTAACGCGTCAGAGGTGGAATTCTTGGATTGCGTTACGACAAACTACTGCGAAAGCATTTGCCAAGGATGTTTTCATTGATCAAGAACGAAAGTATGGGGATCGAAGATGATTAGATACCGTCGTAGTCTATACCATAAACTATGCCGACTAGGGATTGGAGGTCGTTCTTTTTATGACTCCTTCAGCACCTTATGAGAAATCAAAGTCTTTGGGTTCCGGGGGGAGTATAGTCGCAAGGCTGAAACTTAAAGGAATTGACGGAAGGGCACCACCAGGAGTGGAGCCTGCGGCTTAATTTGACTCAACACGGGGAAACTCACCAGGTCCAGACATAGTAAGGATTGACAGATTGATAGCTCTTTCTTGATTCTATGGGTGGTGGTGCATGGCCGTTCTTAGTTGGTGGAGTGATTTGTCTGGTTTATTTCGATAACGAACGAGATCTTAACCTGCTAAATAGTTACACGTATCTCCGGATATTTGATAACTTCTTAGAGGGACTTTGTGGTTTCAACTGCAAGGAAGTTTGAGGCAATAACAGGTCTGTGATGCCCTTAGATGTTCTGGGCTGCACGCGCGCTACACTGATGCGTTCAACGAGTTTATAACCTTGCCCGGTAGGGTTGGGTAATCTTTTGAAAACGCATCGTGATGGGGATAGATTATTGTAATTATTAATCTTCAACGAGGAATTCCTAGTAAGCGCTAGTCATCAGCTAGTGCTGATTACGTCCCTGCCCTTTGTACACACCGCCCGTCGCTGCCTCCGATTGAGTGATCCGGTGAATAATTCGGACCGACAACTCGTTTGGTTCGCCGAACTTGTTGTTGGAAAGTCTAGTAAACCTTATCACTTAGAGGAAGCAAAAGTCGTAACAAGGTTTCCGTAGGTGAACCTGCGGAAGGATC</t>
  </si>
  <si>
    <t>7380aac36a247fb985fa875443a7459e5d12d795</t>
  </si>
  <si>
    <t>AACCTGGTTGATCCTGCCAGTAGTCATATGCTTGTCTCAAAGATTAAGCCATGCATGTCTCAGTATAAGTTTTAACACAACGAAACTGCGAATGGCTCATTAAAACAGTTATAGTTTACTTGATAGTCACTCGTTATATGGATAACTGCGGTAATTCTGGAGCTAATACATGCATAAAGGTTCGCCTTCTCGGAAGAACCGTGCTTATTAGATACAGAACCAATCGGCTTTGCCGTTATTGGATGATTCATAATAAACGAACGGAGCGCATGACTTGTGTCGGCGCTGTTTCATTCAAGTTTCTGACCTATCAGGTTCCGACGGTAGGGTATTGGCCTACCGTGCCATTGACGGGTAACGGAGAATTAGGGTTCGATTCCGGAGAGGGAGCCTTAAAAACGGCTACCACATCTAAGGAAGGCAGCAGGCGCGCAAATTACCCAATCCCGACACGGGGAGGTAGTGACAAGAAATAACACAGAGAGTGCTCTGCATTTCTCTTTGGAATGAGTAGAATTTAAATCTCTTTTCGAACAATTGGAGGGCAAGTCTGGTGCCAGCAGCCGCGGTAATTCCAGCTCCAATAGCGTATATTAAAGTTGTTGCGGTTAAAAAGCTCGTAGTTGGATTTCTGTCGAGGAGCGCCGGTCCACACTTTGTGTGAGTATCTGGTTGCGCCTTGGCATCCTCATGGGGAACGTTTCTGCGCTTGATTGCGTGGAGCGGTATTCATGACTTTTACTTTGAGGAAATTAGAGTGTTCACGGCAGGCAAACGCCTTGAATACATTAGCATGGAATAATAATATAGGACTTTAGCCCTATTTTGTTGGTTTCTAGAGCTAGAGTAATGATTAATAGGGATAATTGGGGGCATTCGTATTAACGCGTCAGAGGTGGAATTCTTGGATTGCGTTACGACGAACTACTGCGAAAGCATTTGCCAAGGATGTTTTCATTGATCAAGAACGAAAGTTAGGGGATCGAAGACGCTTAGATACCGTCGTAGTCTTAACCATAAACTATGCCAACTAGAGATTGGAGGTCGTTCGTTTTATGACTCCTTCAGCACCTTATGAGAAATCAAAGTCTTTGGGTTCCGGGGGGAGTATGGTCGCAAGGCTGAAACTTAAAGGAATTGACGGAAGGGCACCACCAGGAGTGGAGCCTGCGGCTTAATTTGACTCAACACGGGAAAACTTACCAGGTCCAGACATAGTGAGGATTGACAGATTGATAGCTCTTTCTTGATTCTATGGGTGGTGGTGCATGGCCGTTCTTAGTTGGTGGAGTGATTTGTCATTGCTTGATTGCGGTAACGAACGAGACCTTTGCATGCTAAATAGTTTCTCGTATTTTCGGATATGAGTCAAACTTCTTAGATGGACTTTTGGCGTCAAGCCAACGGAAGTTAGAGGCAATAACAGGTCTGTGATGCCCTTAGATGTTCTGGGCTGCACGCGCGCTACACTGATGCGTTCAACGAGTGTCCCTTACCCGATAGGGTTGGGTAATCTTTTGAAAACGCATCGTGATGGGGATAGATTATTGTAATTATTAATCTTCAACGAGGAATTCCTAGTAAGCACGAATCATCAGTTCGCGCTGATTACGTCCCTGCCCTTTGTACACACCGCCCGTCGCTCCTACCGATTGAGTGATCCGGTGAATAATTCGGATTGACGTCTTACTTGGTTTTCCAGGTTCGATGTTGAGAAGTCTAGTGAACCTTATCACTTAGAGGAAGGAGAAGTCGTAACAAGGTTTCCGTAGGTGAACCTGCGGAAGGATC</t>
  </si>
  <si>
    <t>97b19428ad17659045614c2bbe2fbc34ff6e4a68</t>
  </si>
  <si>
    <t>08bc4f0aec_3_64</t>
  </si>
  <si>
    <t>TGATCCTGCCAGTAGTCATACGCTCGTCTCAAAGACTAAGCCATGCATGTGTAAGTATAAACAATTTTATACTGTGAAACTGCGAACGGCTCATTATATCAGTTATAGTTTATTTGATAATATTTTACTACTTGGATAACCGTAGTAATTCTAGAGCTAATACATGCGCAAAGTCCCGACTTCGGAAGGGATGTATTTATTAGATAACAACCGACTCGGTTTCGGCCGGTGTTCTGGTGAGTCATAATAACTGTTCGGATCGCAGCGGCCTCGTTGCCGGCGATGAATCATTCAAGTTTCTGCCCTATCAGCTTTCGATGGTAGTGTATTGGACTACCATGGCGTTAACGGGTAACGGAGAATCAGGGTTCGATTCCGGAGAGGGAGCCTGAGAGATGGCTACCACATCCAAGGAAGGCAGCAGGCGCGTAAATTACCCAATCCTAATTCAGGGAGGTAGTGACAATAAATATCAATGCGGGGCCCTACGGGTCTTGCAATTGGAATGAGTACAATTTAAATCCCTTAACGAGGATCAATTGGAGGGCAAGTCTGGTGCCAGCAGCCGCGGTAATTCCAGCTCCAATAGCGTATATTAAAGTTGTTGCAGTTAAAAAGCTCGTAGTTGGATTTCGGGACGGAGCGACCGGTCCGCCGCTGTGCGGTGTGTACTTGGGTTTACGCCTCTGTCCTTCCTTGCAGGGAAGCGCGTTCGGCCTTAGTTGGTCGGCGCGGGGAACTGCATCGTTTACTGTGAAAAAATTAGAGTGTTTAAAGCAGGCGTTGATTGCTGTGAATACATTAGCATGGAATAATAAGATAGGACTTTGGGACTATTTTGTTGGTTGGAGCAAGGTAATGATTAATAGGGATAGTTGGGGGTATTCATATTTAATTGTCAGAGGTGAAATTCTTGGATTTATGAAAGATGAACTTATGCGAAAGCATTTACCAAGGATGTTTTCATTAATCAAGAACGAAAGTTAGGGGATCGAAGAGGATTAGATACCCTCGTAGTCTTAACCATAAACTATGCCGACTAGGGATTGGAGGGCGTACATTGATGACCCCTTCAGCACCTTATGAGAAATCAAAGTCTTTGGGTTCCGGGGGGAGTATGGTCGCAAGGCTGAAACTTAAAGGAATTGACGGAAGGGCACCACCAGGAGTGGAGCCTGCGGCTTAATTTGACTCAACACGGGAAAACTCACCAGGTCCGGACATAGTAAGGATTGACAGATTGACAGCTCTTTCTTGATTCTATGGGTGGTGGTGCATGGCCGTTCTTAGTTGGTGGAGTGATTTGTCTGGTTAATTCCGTTAACGAACGAGACCACCGCCTACTAAATAGTTACGCGATTCCGTTGGAATGGCGGGCAACTTCTTAGAGGGACACTTGGGGTTTACCCAAGGGAAGTTGGTGGCAATAACAGGTCTGTGATGCCCTTAGATGTTCTGGGCTGCACGCGCGCTACACTGATTCAGAGAGCAAGTCTATAACCTTGACCGAGAGGTCTGGGTAATCTTCGGAAGCTGAATCGTGATGGGGATAGTTGATTGTAATTATTCAACTTGAACGAGGAATTCCTAGTAAACGCGAGTCATCAGCTCGCATTGATTACGTCCCTGCCCTTTGTACACACCGCCCGTNNCACNTACCGATTGAATGGTCCGGTGAATTCTTCGGACCGTGGCGTCTNCCCCC</t>
  </si>
  <si>
    <t>badb1a79829a2ec34f06e20ab1eae03379b74a81</t>
  </si>
  <si>
    <t>c13cc97040_19_536</t>
  </si>
  <si>
    <t>Paraphysomonas imperforata_99.1</t>
  </si>
  <si>
    <t>AACCTGGTTGATTCTGCCAGTAGCATACGCTTGTCTCAAAGATTAAGCCATGCATGTCTAAGTATAAACAAATCTATACTGTGAAACTGCGAATGGCTCATTATATCAGTTATAGTTTATTTGATGGTTCTTGCTACTTGGATAACCGTAGTAATTCTAGAGCTAATACATGCATCAAACCTCGACTTTTTCGGAAGAGGTGTATTTATTAGATGGAAACCAATGCGGGGCAACCCGGATTCAGGTGATTCATAATAACTTTCGGATCGATCTTCGGATCGATGCATCATTCAAGTTTCTGCCCTATCAGCTTTGGATGGTAGGGTATTGGCCTACCATGGCTTTAACGGGTAACGGAGAATTAGGGTTCGATTCCGGAGAGGGAGCCTGAGAAACGGCTACCACATCCAAGGAAGGCAGCAGGCGCGTAAATTACCCAATCCTGACACAGGGAGGTAGTGACAATAAATAACAATGCCGGGCTTTTCTAAGTCTGGCAATTGGAATGAGAACAATTTAAATCCCTTATCGAGGATCAATTGGAGGGCAAGTCTGGTGCCAGCAGCCGCGGTAATTCCAGCTCCAATAGCGTATACTAAAGTTGTTGCAGTTAAAAAGCTCGTAGTTGAATTTCTGGTCGCGGCGACCGGTCCGCCCCTCG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GAGCGAATGCCTAGCATTGGCGGCAACTTCTTAGAGGGACTTTTGGTGACTAACCAAAGGAAGTTGGGGGCAATAACAGGTCTGTGATGCCCTTAGATGTCCTGGGCCGCACGCGCGCTACAATGATACACGCAACGAGTCCACCTTGTCCGAAAGGTCCGGGTAATCTTGTAAATGTGTATCGTACTAGGGATAGATTTTTGCAATTCTGAATCTTGAACGAGGAATTCCTAGTAAATGCGAGTCATCAGCTCGCGTTGATTACGTCCCTGCCCTTTGTACACACCGCCCGTCGCACCTACCGATTGAATGGTTCGGTGAAAACCTCGGACTGCGGCCTGGATGCCTCCGGGCAACCTGGCTGCAGGAAGTTGTTTAAACCTCATCATTTAGAGGAAGGTGAAGTCGTAACAAGGTTTCCGTAGGTGAACCTGCGGAAGGATCA</t>
  </si>
  <si>
    <t>c661e7b46c48102606bc4047e37cb4e1661de6ce</t>
  </si>
  <si>
    <t>fa03db0c4e_22_1399</t>
  </si>
  <si>
    <t>Telonema antarcticum_96.3</t>
  </si>
  <si>
    <t>Telonemia</t>
  </si>
  <si>
    <t>TAGTCATATGCTTGTCTCAAAGATTAAGCCATGCATGTCTAAGTATAAGCCTTTACACGGTGAGACTGCGAATGGCTCATTAAATCAGAAACTGTTTATTTGATAGTGCCTACTACATGGATAACCGTAGTAATTCTAGAGCTAATACATGCAAAAAGCCTGGACTTCTGGAACAGGCGTATTTATTAGATATACAAACCAACCGCTTCGGCGACCTTGGGTGACTCATAATAACTTCGCGAATCGTATGCCTCTGGCGACGATGATTCATTCAAATTTCTGCCCTATCAGCTTTTGATGGTAGGGTATTGGCCTACCATGGCGTTAACGGGTAACGGAGAATTAGGGTTCGATTCCGGAGAGGGAGCCTGAGAGACGGCTACCACATCCAAGGAAGGCAGCAGGCGCGCAAATTACCCAATCCTGACACAGGGAGGTAGTGACAATAAATAACAATGCTGGACTTATTCAAGCCTAGCAATTGGAATGAGAACAATTTAAATCCCTTATCGAGTATCAATTGGAGGGCAAGTCTGGTGCCAGCAGCCGCGGTAATTCCAGCTCCAATAGCGTATATTAAAGTTGTTGCAGTTAAAAAGCTCGTAGTTGGAGTTCAGAGTGAGCTCAGCCGGTCGGCCTCATGGGTCAGAACTGGTCGACTCTCTCTTGTTTGTGGATCCCGTCCGGAGTTAACTCTTCGGAATGTGGAGTTCACATCGTTTACCTTGAAAAAATTAGAGTGTTCAAAGCAGGCGTTTGCTTGAATATATTAGCATGGAATAATGGAATAGGACCCTGGTTCTATTTTGTTGGTTTTGAGGACCAGAGTAATGATTAATAGGGATAGTTGGGGGCATTCATATTTCATTGTCAGAGGTGAAATTCTTGGATTTATGAAAGATGAACTTCTGCGAAAGCATTTGCCAAGGATGTTTTCATTAATCAAGAACGAAAGTTAGGGGATCGAAGACGATCAGATACCGTCGTAGTCTTAACCATAAACTATGCCGACTAGGGATTGGATGTGGTTTGTTCATTGACCCGTTCAGCACCTTACGAGAAATCAAAGTCTTTGGGTTCCGGGGGGAGTATGGTCGCAAGGCTGAAACTTAAAGGAATTGACGGAGGGGCACCACCAGGAGTGGAGCCTGCGGCTTAATTTGACTCAACACGGGAAAACTTACCAGGTCCAGACATAGTAAGGATTGACAGATTGAGAGCTCTTTCTTGATTCTATGGGTGGTGGTGCATGGCCGTTCTTAGTTGGTGGAGTGATTTGTCTGGTTAATTCCGATAACGAACGAGACCTTAACCTACTAAATAGTTACGCCGATACTCTTGTATCGACGGACAACTTCTTAGAGGGACTATCGGTGTTCAACCGGTGGAAGTTTGAGGCAATAACAGGTCTGTGATGCCCTTAGATGTTCTGGGCCGCACGCGCGCTACACTGACGGGTTCAACAAGTTGTCGACCTTGACTGAAGAGTCCGGGTAATCTTCTAAACGCCCGTCGTGATGGGGATAGATTATTGCAATTATTAATCTTCAACGAGGAATTCCTAGTAAGGGTGGTTCATCAGACCGCCTTGATTACGTCCCTGCCCCTTGTACACACCGCCCGTCGCTACTACCGATTGGATGGTCTGGTGAGTCTTCCGGACTGCGGCTCTAGTTCGGGCAACCGGGCTTTGCTGCGGGAAGTTACGCAAACCCTATCATCTAGAGGAAGTAAAAGTCGTAACAAGGTTTCCGTAG</t>
  </si>
  <si>
    <t>9aa403c36c438c81a33460ea2d6a59794baf2f5a</t>
  </si>
  <si>
    <t>2ce87a9a9d_2_170</t>
  </si>
  <si>
    <t>Picomonas judraskeda_97.9</t>
  </si>
  <si>
    <t>TAATACATGCGGCAACACCCGACTTCTGGAAGGGTGGTATTTATTAGATAAAAAACCTTCTCGCTTCGGCGATGTCCCGGTGATTCATAATAACTTTTCGAAGTGCATGACCTTGCGT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TGCCGATTGGTAAGTACGGTTTGGCGGTTGCTTCCTTCCGGAGGCTCGTTCCCTTCTTAACTGAAGGGTTCGTTGGTTCCGGTTCATTTACTTTGAGAAAATTAGAGTGTTCAAAGCAGGCCTA</t>
  </si>
  <si>
    <t>3fbdc254b58889804309071c7862929f037bac1a</t>
  </si>
  <si>
    <t>df39a15752_18_1988</t>
  </si>
  <si>
    <t>CTTAGTTGGTGGAGTGATTTGTCTGGTTAATTCCGTTAACGAACGAGACCGTCGCCTGCTAAATAGTTACGCGAATGGCTTCGGCCATTGGTGGGCAACTTCTTAGAGGGACTTTTGGTGTTTAACCAAAGGAAGCTGGCGGCAATAACAGGTCTGTGATGCCCTTAGATGTTCTGGGCCGCACGCGCGCTACACTGATACATGCAACGAGTTTATAACCTTGATCTGACGGTCTGGGTAATCTTCAAACTGTATCGTGTTAGGGATCGATTCTTGCAATTTTTAATCGTAAACGAGGAATTCCTAGTAAACGCAAGTCATCAGCTTGCATTGATTACGTCCCTGCCCTTTGTACACACCGCCCGTCGACTCTACCGATTGAATGGTTC</t>
  </si>
  <si>
    <t>No V4 (1236-1617)</t>
  </si>
  <si>
    <t>MAST-2</t>
  </si>
  <si>
    <t>CTAGAGCTAATACATGCGTAAAGTCTCGATGGGATGTATTTATTAGATCGAAACCAATGCGCTTCGGCGGTATTTTGGTGAGTCATAATAACTGTGCGGATCGCATGGCCTTGCGCCGGCGATGAATCATTCAAGTTTCTGCCCTATCAGTTTCGATGGTAGGGTATTGGCCTACCATGGCGTTAACGGGTAACGGAGAATTAGGGTTCGATTCCGGAGAGGGAGCCTGAGAGACGGCTACCACATCCAAGGAAGGCAGCAGGCGCGTAAATTACCCAATCCTGACTCAGGGAGGTAGTGACAATAAATAACGATGCCGGGCTCTTTGAGTCTGGCAATTGCAATGAGAACAATCTAAAACCCTTAACGAGGATCAATTGGAGGGCAAGTCTGGTGCCAGCAGCCGCGGTAATTCCAGCTCCAATGGCGTATATTACAGTTGTTGCAGTTAAAAAGCTCGTAGTTGGATTTCTGGCAGGAGCGACCGGTCGGCCCCCCGCATCGTTNACTGTGAGAAAATTAGAGTGTTCAAAGCAGGCTTATGCCTTGGATATGTTAGCATGGAATAATAAGATAAGACTTTGGCGGTCTATTTTGTTGGTTTGCACGCCATTGTAATGATTGATAGGGACAGTTGGGGGTATTCATATTTAATTGTCAGAGGTGAAATTCTTGGATTTATGAAAGATGAACTACTGCGAAAGCATTTACCAAGGATGTTTTCATTAATCAAGAACGAAAGTTAGGGGATCGAAGATGATTAGATACCATCGTAGTCTTAACCATAAACTATGCCGACTAGGGATTAGCGGTCGTTACAATCATGACTCCGTTAGCACCTTATGAGAAATCAAAGTCTTTGGGTTCCGGGGGGAGTATGGTCGCAAGGCTGAAACTTAAAGGAATTGACGGAAGGGCACCACCAGGAGTGGAGCCTGCGGCTTAATTTGACTCAACACGGGGAAACTTACCAGGTCCAGACATAGTAAGGNTTGACAGATTGAGAGCTCTTTCTTGATTCTATGGGTGGTGGTGCATGGCCGTTCTTA</t>
  </si>
  <si>
    <t>V4 lacks internal 80 bp</t>
  </si>
  <si>
    <t>Chrysophyceae sp1</t>
  </si>
  <si>
    <t>Chrysophyceae sp2</t>
  </si>
  <si>
    <t>MALV-I sp1</t>
  </si>
  <si>
    <t>MALV-I sp2</t>
  </si>
  <si>
    <t>MALV-I sp3</t>
  </si>
  <si>
    <t>MALV-I sp4</t>
  </si>
  <si>
    <t>MALV-II sp1</t>
  </si>
  <si>
    <t>MALV-II sp2</t>
  </si>
  <si>
    <t>MALV-II sp3</t>
  </si>
  <si>
    <t>MALV-II sp4</t>
  </si>
  <si>
    <t>MALV-II sp5</t>
  </si>
  <si>
    <t>MAST-12A sp1</t>
  </si>
  <si>
    <t>MAST-1C sp1</t>
  </si>
  <si>
    <t>MAST-1C sp8</t>
  </si>
  <si>
    <t>MAST-1D sp2</t>
  </si>
  <si>
    <t>MAST-2 sp8</t>
  </si>
  <si>
    <t>MAST-3C sp1</t>
  </si>
  <si>
    <t>MAST-3C sp2</t>
  </si>
  <si>
    <t>MAST-3F sp2</t>
  </si>
  <si>
    <t>MAST-3G sp5</t>
  </si>
  <si>
    <t>MAST-3I sp1</t>
  </si>
  <si>
    <t>MAST-3K sp6</t>
  </si>
  <si>
    <t>MAST-4A sp1</t>
  </si>
  <si>
    <t>MAST-4C sp1</t>
  </si>
  <si>
    <t>MAST-7B sp4</t>
  </si>
  <si>
    <t>MAST-7C sp4</t>
  </si>
  <si>
    <t>MAST-7C sp5</t>
  </si>
  <si>
    <t>MAST-8B sp1</t>
  </si>
  <si>
    <t>MAST-8B sp3</t>
  </si>
  <si>
    <t>MAST-9D sp1</t>
  </si>
  <si>
    <t>MOCH-2 sp1</t>
  </si>
  <si>
    <t>Thraustochytrium multirudimentale_92.2</t>
  </si>
  <si>
    <t>Tax18</t>
  </si>
  <si>
    <t>Tax20</t>
  </si>
  <si>
    <t>ICM0001_COSAG.1_Mamiellophyceae</t>
  </si>
  <si>
    <t>ICM0002_COSAG.1_Chrysophyceae</t>
  </si>
  <si>
    <t>ICM0003_COSAG.1_Prymnesiophyceae</t>
  </si>
  <si>
    <t>ICM0007_COSAG.1_MAST-3</t>
  </si>
  <si>
    <t>ICM0022_SAG.1_MALV-II</t>
  </si>
  <si>
    <t>ICM0027_SAG.1_Dictyochophyceae</t>
  </si>
  <si>
    <t>ICM0031_SAG.1_Chrysophyceae</t>
  </si>
  <si>
    <t>ICM0034_SAG.1_MALV-II</t>
  </si>
  <si>
    <t>ICM0105_SAG.1_Prymnesiophyceae</t>
  </si>
  <si>
    <t>ICM0108_SAG.1_Prymnesiophyceae</t>
  </si>
  <si>
    <t>ICM0111_SAG.1_Prymnesiophyceae</t>
  </si>
  <si>
    <t>ICM0114_SAG.1_Prymnesiophyceae</t>
  </si>
  <si>
    <t>ICM0116_SAG.1_Prymnesiophyceae</t>
  </si>
  <si>
    <t>ICM0117_SAG.1_Prymnesiophyceae</t>
  </si>
  <si>
    <t>ICM0124_SAG.1_Prymnesiophyceae</t>
  </si>
  <si>
    <t>ICM0127_SAG.1_Prymnesiophyceae</t>
  </si>
  <si>
    <t>ICM0129_SAG.1_Prymnesiophyceae</t>
  </si>
  <si>
    <t>ICM0130_SAG.1_Prymnesiophyceae</t>
  </si>
  <si>
    <t>ICM0131_SAG.1_Prymnesiophyceae</t>
  </si>
  <si>
    <t>ICM0132_SAG.1_Prymnesiophyceae</t>
  </si>
  <si>
    <t>Complete and Single</t>
  </si>
  <si>
    <t>Complete and Duplicated</t>
  </si>
  <si>
    <t>ICM0096_SAG.1_Mamiellophyceae</t>
  </si>
  <si>
    <t>ICM0102_SAG.1_Prymnesiophyceae</t>
  </si>
  <si>
    <t>ICM0103_SAG.1_Prymnesiophyceae</t>
  </si>
  <si>
    <t>ICM0112_SAG.1_Prymnesiophyceae</t>
  </si>
  <si>
    <t>ICM0113_SAG.1_Prymnesiophyceae</t>
  </si>
  <si>
    <t>ICM0121_SAG.1_Prymnesiophyceae</t>
  </si>
  <si>
    <t>ICM0126_SAG.1_Prymnesiophyceae</t>
  </si>
  <si>
    <t>ICM0128_SAG.1_Prymnesiophyceae</t>
  </si>
  <si>
    <t>ASV_46</t>
  </si>
  <si>
    <t>ASV_267</t>
  </si>
  <si>
    <t>ASV_1719</t>
  </si>
  <si>
    <t>ASV_883</t>
  </si>
  <si>
    <t>ASV_43</t>
  </si>
  <si>
    <t>ASV_716</t>
  </si>
  <si>
    <t>ASV_1233</t>
  </si>
  <si>
    <t>ASV_3188</t>
  </si>
  <si>
    <t>ASV_447</t>
  </si>
  <si>
    <t>ASV_813</t>
  </si>
  <si>
    <t>ASV_18</t>
  </si>
  <si>
    <t>ASV_561</t>
  </si>
  <si>
    <t>ASV_1644</t>
  </si>
  <si>
    <t>ASV_76</t>
  </si>
  <si>
    <t>ASV_4074</t>
  </si>
  <si>
    <t>ASV_14029</t>
  </si>
  <si>
    <t>ASV_463</t>
  </si>
  <si>
    <t>ASV_199</t>
  </si>
  <si>
    <t>ASV_139</t>
  </si>
  <si>
    <t>ASV_1479</t>
  </si>
  <si>
    <t>ASV_52</t>
  </si>
  <si>
    <t>ASV_808</t>
  </si>
  <si>
    <t>ASV_437</t>
  </si>
  <si>
    <t>ASV_3063</t>
  </si>
  <si>
    <t>ASV_2386</t>
  </si>
  <si>
    <t>ASV_1966</t>
  </si>
  <si>
    <t>TAX</t>
  </si>
  <si>
    <t>ASV_2804</t>
  </si>
  <si>
    <t>Little V4 (311 bp)</t>
  </si>
  <si>
    <t>clade F1</t>
  </si>
  <si>
    <t>clade C</t>
  </si>
  <si>
    <t>Acanthocorbis camarensis_91.7</t>
  </si>
  <si>
    <t>Micromonas pusilla_98.3</t>
  </si>
  <si>
    <t>Minorisa minuta_99.9</t>
  </si>
  <si>
    <t>Labyrinthuloides haliotidis_89.0</t>
  </si>
  <si>
    <t>Picomonas judraskeda_97.1</t>
  </si>
  <si>
    <t>Micromonas bravo_98.4a</t>
  </si>
  <si>
    <t>Phaeocystis cordata_99.6</t>
  </si>
  <si>
    <t>Pseudo-nitzschia delicatissima_99.4</t>
  </si>
  <si>
    <t>Pseudo-nitzschia galaxiae_99.9</t>
  </si>
  <si>
    <t>Mantoniella tinhauana_97.4</t>
  </si>
  <si>
    <t>Tetraselmis sp. RCC7299_99.9</t>
  </si>
  <si>
    <t>Mallomonas doignonii_92.4</t>
  </si>
  <si>
    <t>Dolichomastix tenuilepis_97.1</t>
  </si>
  <si>
    <t>Crustomastix stigmatica_97.0</t>
  </si>
  <si>
    <t>Triparma mediterranea_99.7</t>
  </si>
  <si>
    <t>Mallomonas annulata_93.2</t>
  </si>
  <si>
    <t>Chlamydaster sterni_95.4</t>
  </si>
  <si>
    <t>Meringosphaera mediterranea_97.9</t>
  </si>
  <si>
    <t>Hydrurus foetidus_93.2</t>
  </si>
  <si>
    <t>Chrysochromulina acantha_97.2</t>
  </si>
  <si>
    <t>Chrysochromulina acantha_98.2</t>
  </si>
  <si>
    <t>Chrysochromulina simplex_99.4a</t>
  </si>
  <si>
    <t>Chrysochromulina acantha_98.4a</t>
  </si>
  <si>
    <t>Chrysochromulina acantha_97.1</t>
  </si>
  <si>
    <t>Chrysochromulina acantha_98.4b</t>
  </si>
  <si>
    <t>Prorocentrum bidens_94.9</t>
  </si>
  <si>
    <t>Chrysochromulina simplex_98.1</t>
  </si>
  <si>
    <t>Chrysochromulina simplex_99.4b</t>
  </si>
  <si>
    <t>Chrysochromulina simplex</t>
  </si>
  <si>
    <t>Chrysochromulina strobilus_98.3</t>
  </si>
  <si>
    <t>Chrysochromulina andersonii _98.1</t>
  </si>
  <si>
    <t>Pseudo-nitzschia brasiliana</t>
  </si>
  <si>
    <t>f3_total</t>
  </si>
  <si>
    <t>f3_gt50aa</t>
  </si>
  <si>
    <t>EP00940_MAST-3C-sp2</t>
  </si>
  <si>
    <t>EP00939_MAST-3C-sp1</t>
  </si>
  <si>
    <t>EP00942_MAST-4A-sp1</t>
  </si>
  <si>
    <t>EP00937_MAST-1D-sp2</t>
  </si>
  <si>
    <t>EP00911_Craspedida_sp_UC1</t>
  </si>
  <si>
    <t>EP00947_MAST-8B-sp1</t>
  </si>
  <si>
    <t>EP00935_MAST-1C-sp1</t>
  </si>
  <si>
    <t>EP00893_Bathycoccus_prasinos</t>
  </si>
  <si>
    <t>EP01047_Picozoa_sp_COSAG01</t>
  </si>
  <si>
    <t>EP00228_Micromonas_bravo</t>
  </si>
  <si>
    <t>EP00908_Phaeocystis_cordata</t>
  </si>
  <si>
    <t>Ostreococcus_sp_RCC809</t>
  </si>
  <si>
    <t>Chrysochromulina_sp_KB-HA01</t>
  </si>
  <si>
    <t>uncultured clade G</t>
  </si>
  <si>
    <t>uncultured clade H</t>
  </si>
  <si>
    <t>uncultured clade I</t>
  </si>
  <si>
    <t>MAST-3K sp5</t>
  </si>
  <si>
    <t>MAST-7B sp4b</t>
  </si>
  <si>
    <t>MAST-7D sp2</t>
  </si>
  <si>
    <t>Bathycoccus prasinos_sp2</t>
  </si>
  <si>
    <t>Chrysochromulina_sp1</t>
  </si>
  <si>
    <t>Chrysochromulina_sp2</t>
  </si>
  <si>
    <t>Chrysochromulina andersonii_98.9</t>
  </si>
  <si>
    <t>Chrysochromulina_sp3</t>
  </si>
  <si>
    <t>Chrysochromulina_sp4</t>
  </si>
  <si>
    <t>Neobodo sp. HFCC731_94.6</t>
  </si>
  <si>
    <t>Didymoeca costata _96.1</t>
  </si>
  <si>
    <t>Acanthoeca spectabilis_96.0</t>
  </si>
  <si>
    <t>Spirotontonia grandis _97.2</t>
  </si>
  <si>
    <t>Cultured match</t>
  </si>
  <si>
    <t>Mallomonas annulata</t>
  </si>
  <si>
    <t>Prymnesium parvum</t>
  </si>
  <si>
    <t>Amphidinium crassum</t>
  </si>
  <si>
    <t>Incisomonas marina</t>
  </si>
  <si>
    <t>Monosiga brevicollis</t>
  </si>
  <si>
    <t>Thraustochytrium multirudimentale</t>
  </si>
  <si>
    <t>Brockmanniella brockmannii</t>
  </si>
  <si>
    <t>Cryothecomonas longipes</t>
  </si>
  <si>
    <t>Gymnodinium mikimotoi</t>
  </si>
  <si>
    <t>Hyphochytrium catenoides</t>
  </si>
  <si>
    <t>Florenciella sp</t>
  </si>
  <si>
    <t>Syracosphaera pulchra</t>
  </si>
  <si>
    <t>Pseudopedinella elastica</t>
  </si>
  <si>
    <t>Pseudophyllomitus vesiculosus</t>
  </si>
  <si>
    <t>Gymnodinium galatheanum</t>
  </si>
  <si>
    <t>Acanthocorbis camarensis</t>
  </si>
  <si>
    <t>Prorocentrum triestinum</t>
  </si>
  <si>
    <t>Karlodinium micrum</t>
  </si>
  <si>
    <t>Prorocentrum micans</t>
  </si>
  <si>
    <t>Mastreximonas tlaamin</t>
  </si>
  <si>
    <t>Pirsonia guinardiae</t>
  </si>
  <si>
    <t>Micromonas pusilla</t>
  </si>
  <si>
    <t>Paraphysomonas imperforata</t>
  </si>
  <si>
    <t>Kirithra sigma</t>
  </si>
  <si>
    <t>Karenia mikimotoi</t>
  </si>
  <si>
    <t>Theileria</t>
  </si>
  <si>
    <t>Picomonas judraskeda</t>
  </si>
  <si>
    <t>Telonema antarcticum</t>
  </si>
  <si>
    <t>Minorisa minuta</t>
  </si>
  <si>
    <t>Vomastramonas tehuelche</t>
  </si>
  <si>
    <t>Labyrinthuloides haliotidis</t>
  </si>
  <si>
    <t>Hydrurus foetidus</t>
  </si>
  <si>
    <t xml:space="preserve">Mastreximonas tlaamin </t>
  </si>
  <si>
    <t>Savillea micropora</t>
  </si>
  <si>
    <t>Basal to Haptophyta</t>
  </si>
  <si>
    <t>Fuscoporia contigua</t>
  </si>
  <si>
    <t>Phaeocystis cordata</t>
  </si>
  <si>
    <t>Phaeomonas parva</t>
  </si>
  <si>
    <t>Pseudo-nitzschia delicatissima</t>
  </si>
  <si>
    <t>Pseudo-nitzschia galaxiae</t>
  </si>
  <si>
    <t>Florenciella parvula</t>
  </si>
  <si>
    <t>Ochromonas villosa</t>
  </si>
  <si>
    <t>Chrysochromulina scutellum</t>
  </si>
  <si>
    <t>Mantoniella tinhauana</t>
  </si>
  <si>
    <t>Cylindrotheca closterium</t>
  </si>
  <si>
    <t>Haramonas viridis</t>
  </si>
  <si>
    <t>Tetraselmis sp. RCC7299</t>
  </si>
  <si>
    <t>Haptolina fragaria</t>
  </si>
  <si>
    <t>Mallomonas doignonii</t>
  </si>
  <si>
    <t xml:space="preserve">Chrysochromulina andersonii </t>
  </si>
  <si>
    <t>Prymnesium kappa</t>
  </si>
  <si>
    <t>Ochromonas triangulata</t>
  </si>
  <si>
    <t>Dolichomastix tenuilepis</t>
  </si>
  <si>
    <t>Chrysochromulina leadbeateri</t>
  </si>
  <si>
    <t>Crustomastix stigmatica</t>
  </si>
  <si>
    <t>Triparma mediterranea</t>
  </si>
  <si>
    <t>Chlamydaster sterni</t>
  </si>
  <si>
    <t>Meringosphaera mediterranea</t>
  </si>
  <si>
    <t xml:space="preserve">Chaetoceros muellerii </t>
  </si>
  <si>
    <t>Chrysochromulina acantha</t>
  </si>
  <si>
    <t>Phaeocystis jahnii</t>
  </si>
  <si>
    <t>99.4a</t>
  </si>
  <si>
    <t>Chrysochromulina andersonii</t>
  </si>
  <si>
    <t>Prymnesium palpebrale</t>
  </si>
  <si>
    <t>Chrysochromulina campanulifera</t>
  </si>
  <si>
    <t>Prorocentrum bidens</t>
  </si>
  <si>
    <t>99.4b</t>
  </si>
  <si>
    <t>Chrysochromulina strobilus</t>
  </si>
  <si>
    <t>Neobodo sp. HFCC731</t>
  </si>
  <si>
    <t>Solenicola setigera</t>
  </si>
  <si>
    <t>Tunicaraptor unikontum</t>
  </si>
  <si>
    <t>Chlorarachnion reptans</t>
  </si>
  <si>
    <t xml:space="preserve">Tetraselmis sp. RCC 500 </t>
  </si>
  <si>
    <t xml:space="preserve">Didymoeca costata </t>
  </si>
  <si>
    <t>Acanthoeca spectabilis</t>
  </si>
  <si>
    <t xml:space="preserve">Spirotontonia grandis </t>
  </si>
  <si>
    <t>contigs (≥1Kb)</t>
  </si>
  <si>
    <t>Mb (≥1kb)</t>
  </si>
  <si>
    <t>Mb (≥3kb)</t>
  </si>
  <si>
    <t>Mb (≥5kb)</t>
  </si>
  <si>
    <t>contigs (≥3Kb)</t>
  </si>
  <si>
    <t>contigs (≥5Kb)</t>
  </si>
  <si>
    <t>Estimated size Mb</t>
  </si>
  <si>
    <t>Percent Exonic</t>
  </si>
  <si>
    <t>Percent Intronic</t>
  </si>
  <si>
    <t>Percent Intergenic</t>
  </si>
  <si>
    <t>Isochrysidales sp1</t>
  </si>
  <si>
    <t>MAST-7 sp1</t>
  </si>
  <si>
    <t>MAST-1 sp1</t>
  </si>
  <si>
    <t>Thraustochytrium gaertnerium_78.8</t>
  </si>
  <si>
    <t>GGTTGATTCTGCCGGCAATCATTCGCTCGTCTCAAAGATTAAGCCATGCATGTGTAAGTTTAACTTGTTTTAAATGGAAAACTGCGGACGGCTCATTATATCAGTTAGAATCTTATGGAGAGTGTGTAAGGTTATAAGGATAACTGTAGTAATTCTAGAGCAAATACTTGCGAAAAAACGTGACTTTAAGAAGCGTTGCATATATTTGATCAAGCCAACATTTGTGGTGATTCATGATATCTTAGCGGACTGCAGTGCTTCGGCGGCAGTGATTCCATCGACTTTCTGCCCCATCAGCTGGATTGTAGGGTAGTGGCCTACAATGGCGGTAACGGGTGACGGAGAATTAGGGTTTGATTCCGGAGAGGGAGCCTGAGAGATGGCTACCACATCTAAGGAAGGCAGCAGGCGCGAAAATTGTCCAATGGTAATACGCCGAGACAGTGACGAGTTATAGAGTATTCTTGCCTATATGGTAGGATTTTATTCAATGAGAACAGTGTTCAACATTTATCGAGGATCAACTGAAGGGCAAGTCTGGTGCCAGCAGCCGCGGTAATTCCAGCTTCAGGGGCGAATATTAACGTTGTTGCAGTCAAAAAGCTCGTAGTCGAATTTTTTGTGGGCGTTGTGTGATTTGATTGGGTGTAAACCCTTCATGGTAGCACGATGCTGGCAATTCTTGGGTCGTAAGACCCTTTTTCACTGTAAAAAAATTAGAGTGTTTCAAACAGGACGTAGGTCTTGAATAGAATAGTATGGAATGATAAGATACGATGTTTTTCGTACTTGTTGGTTTATGGAAAAGCATAATGATGAATAGACGCGGTGGGAGGATTTTGTATTACCATGTCAGAGGTGAAATTCTTGGATTTTGGAAAGACAAACAAAAGCGAAGGCATTATTTCCGACGACGCCGTCATTGATCAAGAACGAAAGTTAGGGGATCAAAGATGATTAGATACCATCGTAGTCTTAACAGTAAACTATGCCGACTTATGATTGTTGATTGTTCTCATAGGACATCAGCAGGAATACATGAGAAATCAAAGTCTTTGGGTTCCGGGGGGAGTATGATCGCAAGGTTGAAACTTAAAGAAATTGACGGAAGGGCACCACCAGGAGTGGAGCCTGCGGCTTAATTTGACTCAACACGGGAAAACTTACCAGGTCCAGACATGAGTAGGATTGACAGATTGAGAGTTTTTTCTTGATTTTATGGGTGGTGGTGCATGGCCGTTCTTAGTTGGTGGAGTGATTTGTCTGGTTAATTCCGTTAACGAACGAGACTAGGATTTTTTGTTGAGTTTGCTTGCTTCACGGCAGGTCCGCTGTTCAAAAAAGACATTTCAGGTTTACTGGAAGGAAGTTCCTAGCAATAACAGGTCTGGGATGCCCTTAGATGTTCTGGGCCGCACGCGCGCTACACTGGCTGACTCAACATGTTTTATATCTTTTCGATATTTTCGCTTGGTTGAGATGCCTGGCTAATCATTTTAATGTCAGCCGTGATGGGGCTAGAGTTTTGCAATTATGACTCTCCAACGAGGAATTCCTAGTATGGTCAAGTCATCAGCTTGTCCAGATTACGTCCCTGCCCTTTGTACACACCGCCCGTCGCACCTACCGATTGTGTGTTCCGTTGAGATGATTGGATTGTTTTTTATTTCTCTCACGAGTTATTTAAGACGAAAAATTCAGCAAAACTTGACACATAGAGGAAGGTGAAGTCGTAACAAGGTTTCCGTAGGTGAACCTGCGGAAGGATC</t>
  </si>
  <si>
    <t>ASV_806</t>
  </si>
  <si>
    <t>52d3f655785552e560571d23ace454748ddadf7e</t>
  </si>
  <si>
    <t>Tunicaraptor</t>
  </si>
  <si>
    <t>Sort</t>
  </si>
  <si>
    <t>MAST-3 sp1</t>
  </si>
  <si>
    <t>ICM0023_SAG.1_MAST-8</t>
  </si>
  <si>
    <t>ICM0137_SAG.1_Tunicaraptor</t>
  </si>
  <si>
    <t>ICM0090_SAG.1_Mamiellophyceae</t>
  </si>
  <si>
    <t>ICM0136_SAG.1_MAST-3</t>
  </si>
  <si>
    <t>ICM0033_SAG.1_MALV-II</t>
  </si>
  <si>
    <t>ICM0054_COSAG.1_Labyrinthulomycetes</t>
  </si>
  <si>
    <t>ICM0088_SAG.1_Mamiellophyceae</t>
  </si>
  <si>
    <t>ICM0045_COSAG.1_MAST-3</t>
  </si>
  <si>
    <t>ICM0099_SAG.1_Prymnesiophyceae</t>
  </si>
  <si>
    <t>ICM0115_COSAG.1_Prymnesiophyceae</t>
  </si>
  <si>
    <t>ICM0036_COSAG.1_Picozoa</t>
  </si>
  <si>
    <t>ICM0055_SAG.1_Picozoa</t>
  </si>
  <si>
    <t>ICM0020_SAG.1_MALV-II</t>
  </si>
  <si>
    <t>ICM0032_SAG.1_MALV-II</t>
  </si>
  <si>
    <t>ICM0142_SAG.1_Prymnesiophyceae</t>
  </si>
  <si>
    <t>ICM0122_COSAG.1_Prymnesiophyceae</t>
  </si>
  <si>
    <t>ICM0063_COSAG.1_Mamiellophyceae</t>
  </si>
  <si>
    <t>ICM0064_SAG.1_Mamiellophyceae</t>
  </si>
  <si>
    <t>ICM0069_SAG.1_Dictyochophyceae</t>
  </si>
  <si>
    <t>ICM0085_SAG.1_Chrysophyceae</t>
  </si>
  <si>
    <t>ICM0081_SAG.1_MAST-12</t>
  </si>
  <si>
    <t>ICM0084_SAG.1_Prymnesiophyceae</t>
  </si>
  <si>
    <t>ICM0076_COSAG.1_Chlorodendrophyceae</t>
  </si>
  <si>
    <t>ICM0013_COSAG.1_MAST-1</t>
  </si>
  <si>
    <t>ICM0086_SAG.1_Chrysophyceae</t>
  </si>
  <si>
    <t>ICM0123_SAG.1_Prymnesiophyceae</t>
  </si>
  <si>
    <t>ICM0053_COSAG.1_Chrysophyceae</t>
  </si>
  <si>
    <t>ICM0092_COSAG.1_Chrysophyceae</t>
  </si>
  <si>
    <t>ICM0026_COSAG.1_MAST-1</t>
  </si>
  <si>
    <t>ICM0071_SAG.1_Prymnesiophyceae</t>
  </si>
  <si>
    <t>ICM0100_SAG.1_Prymnesiophyceae</t>
  </si>
  <si>
    <t>ICM0070_SAG.1_Chrysophyceae</t>
  </si>
  <si>
    <t>ICM0008_SAG.1_Choanoflagellata</t>
  </si>
  <si>
    <t>ICM0065_COSAG.1_Prymnesiophyceae</t>
  </si>
  <si>
    <t>ICM0018_SAG.1_MALV-I</t>
  </si>
  <si>
    <t>ICM0056_SAG.1_Choanoflagellata</t>
  </si>
  <si>
    <t>ICM0041_COSAG.1_Chlorarachnea</t>
  </si>
  <si>
    <t>ICM0040_SAG.1_Picozoa</t>
  </si>
  <si>
    <t>ICM0028_COSAG.1_Mamiellophyceae</t>
  </si>
  <si>
    <t>ICM0025_SAG.1_Dictyochophyceae</t>
  </si>
  <si>
    <t>ICM0101_COSAG.1_Prymnesiophyceae</t>
  </si>
  <si>
    <t>ICM0146_SAG.1_Ciliophora</t>
  </si>
  <si>
    <t>ICM0082_COSAG.1_Prymnesiophyceae</t>
  </si>
  <si>
    <t>ICM0042_COSAG.1_MAST-4</t>
  </si>
  <si>
    <t>ICM0073_SAG.1_Mamiellophyceae</t>
  </si>
  <si>
    <t>ICM0039_SAG.1_Telonemia</t>
  </si>
  <si>
    <t>ICM0144_SAG.1_MAST-3</t>
  </si>
  <si>
    <t>ICM0104_SAG.1_Prymnesiophyceae</t>
  </si>
  <si>
    <t>ICM0038_SAG.1_Chrysophyceae</t>
  </si>
  <si>
    <t>ICM0015_COSAG.1_Prymnesiophyceae</t>
  </si>
  <si>
    <t>ICM0140_COSAG.1_Chlorodendrophyceae</t>
  </si>
  <si>
    <t>ICM0043_COSAG.1_MAST-7</t>
  </si>
  <si>
    <t>ICM0077_COSAG.1_Mamiellophyceae</t>
  </si>
  <si>
    <t>ICM0145_SAG.1_Choanoflagellata</t>
  </si>
  <si>
    <t>ICM0006_COSAG.1_MAST-3</t>
  </si>
  <si>
    <t>ICM0079_COSAG.1_Chrysophyceae</t>
  </si>
  <si>
    <t>ICM0048_COSAG.1_Chrysophyceae</t>
  </si>
  <si>
    <t>ICM0010_COSAG.1_MAST-4</t>
  </si>
  <si>
    <t>ICM0037_SAG.1_MAST-3</t>
  </si>
  <si>
    <t>ICM0016_COSAG.1_Dictyochophyceae</t>
  </si>
  <si>
    <t>ICM0005_SAG.1_MALV-I</t>
  </si>
  <si>
    <t>ICM0024_COSAG.1_MAST-8</t>
  </si>
  <si>
    <t>ICM0019_COSAG.1_Choanoflagellata</t>
  </si>
  <si>
    <t>ICM0062_COSAG.1_Mamiellophyceae</t>
  </si>
  <si>
    <t>ICM0051_COSAG.1_MAST-3</t>
  </si>
  <si>
    <t>ICM0091_COSAG.1_Bolidophyceae</t>
  </si>
  <si>
    <t>ICM0110_SAG.1_Prymnesiophyceae</t>
  </si>
  <si>
    <t>ICM0011_COSAG.1_Chlorarachnea</t>
  </si>
  <si>
    <t>ICM0044_SAG.1_Labyrinthulomycetes</t>
  </si>
  <si>
    <t>ICM0021_SAG.1_MALV-I</t>
  </si>
  <si>
    <t>ICM0017_SAG.1_MAST-8</t>
  </si>
  <si>
    <t>ICM0009_SAG.1_Labyrinthulomycetes</t>
  </si>
  <si>
    <t>ICM0050_SAG.1_MAST-7</t>
  </si>
  <si>
    <t>ICM0139_SAG.1_Chlorarachnea</t>
  </si>
  <si>
    <t>ICM0083_SAG.1_Prymnesiophyceae</t>
  </si>
  <si>
    <t>ICM0075_COSAG.1_MOCH-2</t>
  </si>
  <si>
    <t>ICM0109_SAG.1_Prymnesiophyceae</t>
  </si>
  <si>
    <t>ICM0052_COSAG.1_MAST-7</t>
  </si>
  <si>
    <t>ICM0095_COSAG.1_Centroplasthelida</t>
  </si>
  <si>
    <t>ICM0138_SAG.1_MAST-9</t>
  </si>
  <si>
    <t>ICM0134_COSAG.1_MAST-7</t>
  </si>
  <si>
    <t>ICM0078_COSAG.1_Prymnesiophyceae</t>
  </si>
  <si>
    <t>ICM0135_SAG.1_Cercozoa</t>
  </si>
  <si>
    <t>ICM0107_COSAG.1_Prymnesiophyceae</t>
  </si>
  <si>
    <t>ICM0118_SAG.1_Prymnesiophyceae</t>
  </si>
  <si>
    <t>ICM0066_SAG.1_Pinguiophyceae</t>
  </si>
  <si>
    <t>ICM0106_COSAG.1_Prymnesiophyceae</t>
  </si>
  <si>
    <t>ICM0125_SAG.1_Prymnesiophyceae</t>
  </si>
  <si>
    <t>ICM0133_SAG.1_Kinetoplastea</t>
  </si>
  <si>
    <t>ICM0143_SAG.1_Choanoflagellata</t>
  </si>
  <si>
    <t>ICM0012_SAG.1_MALV-I</t>
  </si>
  <si>
    <t>ICM0058_SAG.1_Cercozoa</t>
  </si>
  <si>
    <t>ICM0147_SAG.1_Picozoa</t>
  </si>
  <si>
    <t>ICM0049_SAG.1_MAST-7</t>
  </si>
  <si>
    <t>ICM0094_SAG.1_Centroplasthelida</t>
  </si>
  <si>
    <t>ICM0072_SAG.1_Prymnesiophyceae</t>
  </si>
  <si>
    <t>ICM0098_SAG.1_Chrysophyceae</t>
  </si>
  <si>
    <t>ICM0120_COSAG.1_Prymnesiophyceae</t>
  </si>
  <si>
    <t>ICM0014_SAG.1_MAST-1</t>
  </si>
  <si>
    <t>ICM0119_SAG.1_Dinoflagellata</t>
  </si>
  <si>
    <t>ICM0089_SAG.1_Prymnesiophyceae</t>
  </si>
  <si>
    <t>ICM0004_COSAG.1_Prymnesiophyceae</t>
  </si>
  <si>
    <t>ICM0029_SAG.1_Chrysophyceae</t>
  </si>
  <si>
    <t>ICM0030_SAG.1_Mamiellophyceae</t>
  </si>
  <si>
    <t>ICM0046_SAG.1_MAST-3</t>
  </si>
  <si>
    <t>ICM0047_SAG.1_Cercozoa</t>
  </si>
  <si>
    <t>ICM0057_COSAG.1_Unknown</t>
  </si>
  <si>
    <t>ICM0059_SAG.1_MAST-7</t>
  </si>
  <si>
    <t>ICM0060_SAG.1_MAST-1</t>
  </si>
  <si>
    <t>ICM0080_SAG.1_Chrysophyceae</t>
  </si>
  <si>
    <t>ICM0035_SAG.1_MAST-2</t>
  </si>
  <si>
    <t>Basidiomycota</t>
  </si>
  <si>
    <t>ICM0061_SAG.1_Basidiomycota</t>
  </si>
  <si>
    <t>ICM0067_COSAG.1_Diatomea</t>
  </si>
  <si>
    <t>ICM0068_COSAG.1_Diatomea</t>
  </si>
  <si>
    <t>ICM0074_SAG.1_Diatomea</t>
  </si>
  <si>
    <t>ICM0087_SAG.1_Diatomea</t>
  </si>
  <si>
    <t>ICM0097_SAG.1_Diatomea</t>
  </si>
  <si>
    <t>ICM0141_SAG.1_Diatomea</t>
  </si>
  <si>
    <t>Diatomea</t>
  </si>
  <si>
    <t>ICM0093_SAG.1_Chlorophyta</t>
  </si>
  <si>
    <t>Chlorophyta sp1</t>
  </si>
  <si>
    <t>Chlorophyta</t>
  </si>
  <si>
    <t>Discoba</t>
  </si>
  <si>
    <t>cluster5</t>
  </si>
  <si>
    <t>ASV_9</t>
  </si>
  <si>
    <t>ASV_482</t>
  </si>
  <si>
    <t>ASV_394</t>
  </si>
  <si>
    <t>ASV_40</t>
  </si>
  <si>
    <t>ASV_363</t>
  </si>
  <si>
    <t>ASV_213</t>
  </si>
  <si>
    <t>ASV_1460</t>
  </si>
  <si>
    <t>ASV_627</t>
  </si>
  <si>
    <t>ASV_1347</t>
  </si>
  <si>
    <t>ASV_2058</t>
  </si>
  <si>
    <t>ASV_501</t>
  </si>
  <si>
    <t>ASV_929</t>
  </si>
  <si>
    <t>ASV_13</t>
  </si>
  <si>
    <t>ASV_1755</t>
  </si>
  <si>
    <t>ASV_65</t>
  </si>
  <si>
    <t>ASV_4596</t>
  </si>
  <si>
    <t>ASV_14121</t>
  </si>
  <si>
    <t>ASV_489</t>
  </si>
  <si>
    <t>ASV_284</t>
  </si>
  <si>
    <t>ASV_132</t>
  </si>
  <si>
    <t>ASV_124</t>
  </si>
  <si>
    <t>ASV_1030</t>
  </si>
  <si>
    <t>ASV_51</t>
  </si>
  <si>
    <t>ASV_919</t>
  </si>
  <si>
    <t>Little V4 (internal gap of 80 bp))</t>
  </si>
  <si>
    <t>ASV_162</t>
  </si>
  <si>
    <t>ASV_452</t>
  </si>
  <si>
    <t>ASV_3930</t>
  </si>
  <si>
    <t>ASV_2391</t>
  </si>
  <si>
    <t>ASV_1564</t>
  </si>
  <si>
    <t>ASV_131</t>
  </si>
  <si>
    <t>ASV_264</t>
  </si>
  <si>
    <t>ASV_4311</t>
  </si>
  <si>
    <t>ASV_594</t>
  </si>
  <si>
    <t>ASV_6271</t>
  </si>
  <si>
    <t>ASV_884</t>
  </si>
  <si>
    <t>ASV_774</t>
  </si>
  <si>
    <t>ASV_2733</t>
  </si>
  <si>
    <t>ASV_1862</t>
  </si>
  <si>
    <t>ASV_487</t>
  </si>
  <si>
    <t>ASV_1881</t>
  </si>
  <si>
    <t>ASV_14</t>
  </si>
  <si>
    <t>ASV_373</t>
  </si>
  <si>
    <t>ASV_165</t>
  </si>
  <si>
    <t>ASV_15262</t>
  </si>
  <si>
    <t>ASV_8563</t>
  </si>
  <si>
    <t>ASV_611</t>
  </si>
  <si>
    <t>ASV_1539</t>
  </si>
  <si>
    <t>ASV_1850</t>
  </si>
  <si>
    <t>ASV_5606</t>
  </si>
  <si>
    <t>ASV_1991</t>
  </si>
  <si>
    <t>ASV_874</t>
  </si>
  <si>
    <t>ASV_160</t>
  </si>
  <si>
    <t>ASV_31</t>
  </si>
  <si>
    <t>ASV_5698</t>
  </si>
  <si>
    <t>ASV_362</t>
  </si>
  <si>
    <t>ASV_2780</t>
  </si>
  <si>
    <t>ASV_842</t>
  </si>
  <si>
    <t>ASV_1725</t>
  </si>
  <si>
    <t>ASV_891</t>
  </si>
  <si>
    <t>ASV_1199</t>
  </si>
  <si>
    <t>ASV_39335</t>
  </si>
  <si>
    <t>ASV_33042</t>
  </si>
  <si>
    <t>ASV_32356</t>
  </si>
  <si>
    <t>ASV_621</t>
  </si>
  <si>
    <t>ASV_1562</t>
  </si>
  <si>
    <t>ASV_3126</t>
  </si>
  <si>
    <t>ASV_5261</t>
  </si>
  <si>
    <t>ASV_1318</t>
  </si>
  <si>
    <t>ASV_1102</t>
  </si>
  <si>
    <t>ASV_1954</t>
  </si>
  <si>
    <t>ASV_516</t>
  </si>
  <si>
    <t>ASV_1587</t>
  </si>
  <si>
    <t>Little V4 (253 bp)</t>
  </si>
  <si>
    <t>ASV_1220</t>
  </si>
  <si>
    <t>ASV_779</t>
  </si>
  <si>
    <t>ASV_305</t>
  </si>
  <si>
    <t>ASV_446</t>
  </si>
  <si>
    <t>ASV_1015</t>
  </si>
  <si>
    <t>ASV_3242</t>
  </si>
  <si>
    <t>ASV_4572</t>
  </si>
  <si>
    <t>Little V4 (266 bp)</t>
  </si>
  <si>
    <t>ASV_1956</t>
  </si>
  <si>
    <t>ASV_3651</t>
  </si>
  <si>
    <t>Little V4 (92 bp)</t>
  </si>
  <si>
    <t>ASV_4718</t>
  </si>
  <si>
    <t>ASV_649</t>
  </si>
  <si>
    <t>ASV_3332</t>
  </si>
  <si>
    <t>ASV_22171</t>
  </si>
  <si>
    <t>ASV_3768</t>
  </si>
  <si>
    <t>ASV_8250</t>
  </si>
  <si>
    <t>ASV_164</t>
  </si>
  <si>
    <t>ASV_3260</t>
  </si>
  <si>
    <t>ASV_3251</t>
  </si>
  <si>
    <t>ASV_1668</t>
  </si>
  <si>
    <t>ASV_EukEMM_v3</t>
  </si>
  <si>
    <t>2829ee7dd9_33_4473</t>
  </si>
  <si>
    <t>65b34daa0258d08d124893528339da0c6681f4f0</t>
  </si>
  <si>
    <t>9736bf5e6405880040d18005d4b38bf7012b88fc</t>
  </si>
  <si>
    <t>Endomyxa</t>
  </si>
  <si>
    <t>Endomyxa sp1</t>
  </si>
  <si>
    <t>nano-HP</t>
  </si>
  <si>
    <t>PP</t>
  </si>
  <si>
    <t>PP(67%)</t>
  </si>
  <si>
    <t>PP(75%)</t>
  </si>
  <si>
    <t>pico-HP</t>
  </si>
  <si>
    <t>pico-HP(75%)</t>
  </si>
  <si>
    <t>pico-HP(86%)</t>
  </si>
  <si>
    <t>pico-PP</t>
  </si>
  <si>
    <t>Final_Name</t>
  </si>
  <si>
    <t>%-complete and single</t>
  </si>
  <si>
    <t>Mean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</si>
</sst>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2F5597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0" fontId="1" fillId="9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2">
    <cellStyle name="Normal" xfId="0" builtinId="0"/>
    <cellStyle name="Normal 2" xfId="1" xr:uid="{03537CBC-270C-254A-989E-0BE484B3D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E6CD-23F3-3243-95CF-CE8CCC01A9D1}">
  <dimension ref="A1:AV150"/>
  <sheetViews>
    <sheetView tabSelected="1" workbookViewId="0">
      <pane xSplit="9840" ySplit="5600" topLeftCell="AL98"/>
      <selection activeCell="D1" sqref="D1:G1048576"/>
      <selection pane="topRight" activeCell="AP1" sqref="AP1:AP1048576"/>
      <selection pane="bottomLeft" activeCell="B159" sqref="B159"/>
      <selection pane="bottomRight" activeCell="AP152" sqref="AP152"/>
    </sheetView>
  </sheetViews>
  <sheetFormatPr baseColWidth="10" defaultRowHeight="16" x14ac:dyDescent="0.2"/>
  <cols>
    <col min="1" max="1" width="36" style="2" customWidth="1"/>
    <col min="2" max="2" width="11.83203125" style="5" customWidth="1"/>
    <col min="3" max="3" width="8.6640625" customWidth="1"/>
    <col min="4" max="5" width="10.83203125" style="47"/>
    <col min="6" max="6" width="36" style="48" customWidth="1"/>
    <col min="7" max="7" width="20.6640625" style="48" customWidth="1"/>
    <col min="8" max="8" width="16.1640625" style="5" customWidth="1"/>
    <col min="9" max="12" width="7.6640625" style="2" customWidth="1"/>
    <col min="13" max="21" width="10.83203125" style="2"/>
    <col min="22" max="25" width="13.1640625" style="21" customWidth="1"/>
    <col min="26" max="26" width="13.1640625" style="14" customWidth="1"/>
    <col min="27" max="27" width="13.1640625" style="21" customWidth="1"/>
    <col min="28" max="28" width="10.83203125" style="5"/>
    <col min="29" max="32" width="10.83203125" style="2"/>
    <col min="33" max="34" width="10.83203125" style="4"/>
    <col min="35" max="35" width="9" style="5" customWidth="1"/>
    <col min="36" max="39" width="12.5" style="38" customWidth="1"/>
    <col min="40" max="40" width="10.83203125" style="2"/>
    <col min="41" max="41" width="12" style="2" customWidth="1"/>
    <col min="42" max="42" width="12.33203125" style="41" customWidth="1"/>
    <col min="43" max="43" width="16.33203125" style="2" customWidth="1"/>
    <col min="44" max="44" width="49.1640625" style="2" customWidth="1"/>
    <col min="45" max="45" width="26" style="2" customWidth="1"/>
    <col min="46" max="46" width="27.6640625" style="2" customWidth="1"/>
    <col min="47" max="47" width="30.33203125" style="5" customWidth="1"/>
    <col min="48" max="16384" width="10.83203125" style="5"/>
  </cols>
  <sheetData>
    <row r="1" spans="1:48" s="28" customFormat="1" ht="32" x14ac:dyDescent="0.2">
      <c r="A1" s="35" t="s">
        <v>994</v>
      </c>
      <c r="B1" s="36" t="s">
        <v>758</v>
      </c>
      <c r="C1" s="30" t="s">
        <v>595</v>
      </c>
      <c r="D1" s="43" t="s">
        <v>537</v>
      </c>
      <c r="E1" s="43" t="s">
        <v>538</v>
      </c>
      <c r="F1" s="44" t="s">
        <v>0</v>
      </c>
      <c r="G1" s="44" t="s">
        <v>1</v>
      </c>
      <c r="H1" s="4" t="s">
        <v>2</v>
      </c>
      <c r="I1" s="4" t="s">
        <v>3</v>
      </c>
      <c r="J1" s="4">
        <v>2018</v>
      </c>
      <c r="K1" s="4">
        <v>2020</v>
      </c>
      <c r="L1" s="4" t="s">
        <v>4</v>
      </c>
      <c r="M1" s="4" t="s">
        <v>741</v>
      </c>
      <c r="N1" s="4" t="s">
        <v>742</v>
      </c>
      <c r="O1" s="4" t="s">
        <v>743</v>
      </c>
      <c r="P1" s="3" t="s">
        <v>740</v>
      </c>
      <c r="Q1" s="3" t="s">
        <v>744</v>
      </c>
      <c r="R1" s="3" t="s">
        <v>745</v>
      </c>
      <c r="S1" s="3" t="s">
        <v>5</v>
      </c>
      <c r="T1" s="4" t="s">
        <v>6</v>
      </c>
      <c r="U1" s="4" t="s">
        <v>7</v>
      </c>
      <c r="V1" s="3" t="s">
        <v>8</v>
      </c>
      <c r="W1" s="3" t="s">
        <v>559</v>
      </c>
      <c r="X1" s="3" t="s">
        <v>560</v>
      </c>
      <c r="Y1" s="3" t="s">
        <v>9</v>
      </c>
      <c r="Z1" s="3" t="s">
        <v>10</v>
      </c>
      <c r="AA1" s="3" t="s">
        <v>995</v>
      </c>
      <c r="AB1" s="28" t="s">
        <v>11</v>
      </c>
      <c r="AC1" s="4" t="s">
        <v>12</v>
      </c>
      <c r="AD1" s="4" t="s">
        <v>13</v>
      </c>
      <c r="AE1" s="4" t="s">
        <v>14</v>
      </c>
      <c r="AF1" s="4" t="s">
        <v>15</v>
      </c>
      <c r="AG1" s="4" t="s">
        <v>632</v>
      </c>
      <c r="AH1" s="4" t="s">
        <v>633</v>
      </c>
      <c r="AI1" s="4" t="s">
        <v>16</v>
      </c>
      <c r="AJ1" s="37" t="s">
        <v>746</v>
      </c>
      <c r="AK1" s="37" t="s">
        <v>747</v>
      </c>
      <c r="AL1" s="37" t="s">
        <v>748</v>
      </c>
      <c r="AM1" s="37" t="s">
        <v>749</v>
      </c>
      <c r="AN1" s="2" t="s">
        <v>884</v>
      </c>
      <c r="AO1" s="36" t="s">
        <v>980</v>
      </c>
      <c r="AP1" s="42" t="s">
        <v>996</v>
      </c>
      <c r="AQ1" s="27" t="s">
        <v>17</v>
      </c>
      <c r="AR1" s="27" t="s">
        <v>18</v>
      </c>
      <c r="AS1" s="27" t="s">
        <v>19</v>
      </c>
      <c r="AT1" s="4"/>
      <c r="AU1" s="4" t="s">
        <v>663</v>
      </c>
      <c r="AV1" s="4"/>
    </row>
    <row r="2" spans="1:48" x14ac:dyDescent="0.2">
      <c r="A2" s="12" t="s">
        <v>553</v>
      </c>
      <c r="B2" s="2" t="s">
        <v>987</v>
      </c>
      <c r="C2" s="32">
        <v>124</v>
      </c>
      <c r="D2" s="45" t="s">
        <v>22</v>
      </c>
      <c r="E2" s="46">
        <v>92</v>
      </c>
      <c r="F2" s="41" t="s">
        <v>627</v>
      </c>
      <c r="G2" s="41" t="s">
        <v>120</v>
      </c>
      <c r="H2" s="2" t="s">
        <v>121</v>
      </c>
      <c r="I2" s="2">
        <v>1</v>
      </c>
      <c r="J2" s="2">
        <v>0</v>
      </c>
      <c r="K2" s="2">
        <v>1</v>
      </c>
      <c r="L2" s="2" t="s">
        <v>22</v>
      </c>
      <c r="M2" s="17">
        <v>37.51</v>
      </c>
      <c r="N2" s="17">
        <v>32.81</v>
      </c>
      <c r="O2" s="17">
        <v>30.07</v>
      </c>
      <c r="P2" s="6">
        <v>5408</v>
      </c>
      <c r="Q2" s="6">
        <v>2553</v>
      </c>
      <c r="R2" s="6">
        <v>1850</v>
      </c>
      <c r="S2" s="6">
        <v>90548</v>
      </c>
      <c r="T2" s="18">
        <v>61.44</v>
      </c>
      <c r="U2" s="6">
        <v>16461</v>
      </c>
      <c r="V2" s="21">
        <v>108</v>
      </c>
      <c r="W2" s="21">
        <v>105</v>
      </c>
      <c r="X2" s="21">
        <v>3</v>
      </c>
      <c r="Y2" s="21">
        <v>27</v>
      </c>
      <c r="Z2" s="22">
        <f t="shared" ref="Z2:Z33" si="0">100*(V2+Y2)/255</f>
        <v>52.941176470588232</v>
      </c>
      <c r="AA2" s="22">
        <f t="shared" ref="AA2:AA33" si="1">100*W2/V2</f>
        <v>97.222222222222229</v>
      </c>
      <c r="AB2" s="18">
        <v>99.6</v>
      </c>
      <c r="AC2" s="6">
        <v>2542</v>
      </c>
      <c r="AD2" s="6">
        <v>8</v>
      </c>
      <c r="AE2" s="6">
        <v>0</v>
      </c>
      <c r="AF2" s="6">
        <v>3</v>
      </c>
      <c r="AG2" s="7">
        <v>17587</v>
      </c>
      <c r="AH2" s="6">
        <v>17574</v>
      </c>
      <c r="AI2" s="5" t="s">
        <v>331</v>
      </c>
      <c r="AJ2" s="38">
        <v>70.860542123158297</v>
      </c>
      <c r="AK2" s="29">
        <v>69.244186323930606</v>
      </c>
      <c r="AL2" s="29">
        <v>3.48390719721138</v>
      </c>
      <c r="AM2" s="29">
        <v>27.1206305579386</v>
      </c>
      <c r="AN2" s="2">
        <v>2</v>
      </c>
      <c r="AO2" s="2" t="s">
        <v>963</v>
      </c>
      <c r="AP2" s="26">
        <v>8.4207327715569907E-2</v>
      </c>
      <c r="AQ2" s="2" t="s">
        <v>332</v>
      </c>
      <c r="AR2" s="2" t="s">
        <v>333</v>
      </c>
      <c r="AS2" s="2" t="s">
        <v>334</v>
      </c>
      <c r="AT2" s="24" t="s">
        <v>646</v>
      </c>
      <c r="AU2" s="2" t="s">
        <v>628</v>
      </c>
      <c r="AV2" s="2" t="s">
        <v>730</v>
      </c>
    </row>
    <row r="3" spans="1:48" x14ac:dyDescent="0.2">
      <c r="A3" s="12" t="s">
        <v>545</v>
      </c>
      <c r="B3" s="2" t="s">
        <v>993</v>
      </c>
      <c r="C3" s="32">
        <v>31</v>
      </c>
      <c r="D3" s="45">
        <v>36</v>
      </c>
      <c r="E3" s="45" t="s">
        <v>22</v>
      </c>
      <c r="F3" s="41" t="s">
        <v>475</v>
      </c>
      <c r="G3" s="41" t="s">
        <v>59</v>
      </c>
      <c r="H3" s="2" t="s">
        <v>38</v>
      </c>
      <c r="I3" s="2">
        <v>1</v>
      </c>
      <c r="J3" s="2">
        <v>1</v>
      </c>
      <c r="K3" s="2">
        <v>0</v>
      </c>
      <c r="L3" s="2" t="s">
        <v>22</v>
      </c>
      <c r="M3" s="38">
        <v>5.17</v>
      </c>
      <c r="N3" s="38">
        <v>4.25</v>
      </c>
      <c r="O3" s="38">
        <v>3.84</v>
      </c>
      <c r="P3" s="2">
        <v>954</v>
      </c>
      <c r="Q3" s="2">
        <v>372</v>
      </c>
      <c r="R3" s="2">
        <v>267</v>
      </c>
      <c r="S3" s="2">
        <v>58940</v>
      </c>
      <c r="T3" s="29">
        <v>50.83</v>
      </c>
      <c r="U3" s="2">
        <v>12821</v>
      </c>
      <c r="V3" s="21">
        <v>37</v>
      </c>
      <c r="W3" s="21">
        <v>36</v>
      </c>
      <c r="X3" s="21">
        <v>1</v>
      </c>
      <c r="Y3" s="21">
        <v>13</v>
      </c>
      <c r="Z3" s="22">
        <f t="shared" si="0"/>
        <v>19.607843137254903</v>
      </c>
      <c r="AA3" s="22">
        <f t="shared" si="1"/>
        <v>97.297297297297291</v>
      </c>
      <c r="AB3" s="29">
        <v>98.1</v>
      </c>
      <c r="AC3" s="2">
        <v>365</v>
      </c>
      <c r="AD3" s="2">
        <v>6</v>
      </c>
      <c r="AE3" s="2">
        <v>0</v>
      </c>
      <c r="AF3" s="2">
        <v>1</v>
      </c>
      <c r="AG3" s="6">
        <v>2950</v>
      </c>
      <c r="AH3" s="2">
        <v>2950</v>
      </c>
      <c r="AI3" s="12" t="s">
        <v>476</v>
      </c>
      <c r="AJ3" s="38">
        <v>26.3870678225395</v>
      </c>
      <c r="AK3" s="29">
        <v>84.009191992121401</v>
      </c>
      <c r="AL3" s="29">
        <v>2.4652024619171198</v>
      </c>
      <c r="AM3" s="29">
        <v>13.3545746606825</v>
      </c>
      <c r="AN3" s="2">
        <v>1</v>
      </c>
      <c r="AO3" s="2" t="s">
        <v>906</v>
      </c>
      <c r="AP3" s="26">
        <v>1.099981888153558E-2</v>
      </c>
      <c r="AQ3" s="2" t="s">
        <v>588</v>
      </c>
      <c r="AR3" s="8" t="s">
        <v>55</v>
      </c>
      <c r="AS3" s="2" t="s">
        <v>477</v>
      </c>
      <c r="AT3" s="13" t="s">
        <v>648</v>
      </c>
      <c r="AU3" s="2" t="s">
        <v>686</v>
      </c>
      <c r="AV3" s="29">
        <v>91.9</v>
      </c>
    </row>
    <row r="4" spans="1:48" x14ac:dyDescent="0.2">
      <c r="A4" s="12" t="s">
        <v>790</v>
      </c>
      <c r="B4" s="2" t="s">
        <v>987</v>
      </c>
      <c r="C4" s="32">
        <v>100</v>
      </c>
      <c r="D4" s="45" t="s">
        <v>22</v>
      </c>
      <c r="E4" s="46">
        <v>67</v>
      </c>
      <c r="F4" s="41" t="s">
        <v>262</v>
      </c>
      <c r="G4" s="41" t="s">
        <v>120</v>
      </c>
      <c r="H4" s="2" t="s">
        <v>121</v>
      </c>
      <c r="I4" s="2">
        <v>1</v>
      </c>
      <c r="J4" s="2">
        <v>0</v>
      </c>
      <c r="K4" s="2">
        <v>1</v>
      </c>
      <c r="L4" s="2" t="s">
        <v>22</v>
      </c>
      <c r="M4" s="17">
        <v>31.95</v>
      </c>
      <c r="N4" s="17">
        <v>25.15</v>
      </c>
      <c r="O4" s="17">
        <v>20.91</v>
      </c>
      <c r="P4" s="6">
        <v>7028</v>
      </c>
      <c r="Q4" s="6">
        <v>2915</v>
      </c>
      <c r="R4" s="6">
        <v>1820</v>
      </c>
      <c r="S4" s="6">
        <v>55529</v>
      </c>
      <c r="T4" s="18">
        <v>62.79</v>
      </c>
      <c r="U4" s="6">
        <v>8221</v>
      </c>
      <c r="V4" s="21">
        <v>42</v>
      </c>
      <c r="W4" s="21">
        <v>42</v>
      </c>
      <c r="X4" s="21">
        <v>0</v>
      </c>
      <c r="Y4" s="21">
        <v>13</v>
      </c>
      <c r="Z4" s="22">
        <f t="shared" si="0"/>
        <v>21.568627450980394</v>
      </c>
      <c r="AA4" s="22">
        <f t="shared" si="1"/>
        <v>100</v>
      </c>
      <c r="AB4" s="18">
        <v>99.1</v>
      </c>
      <c r="AC4" s="6">
        <v>2890</v>
      </c>
      <c r="AD4" s="6">
        <v>18</v>
      </c>
      <c r="AE4" s="6">
        <v>0</v>
      </c>
      <c r="AF4" s="6">
        <v>7</v>
      </c>
      <c r="AG4" s="7">
        <v>12319</v>
      </c>
      <c r="AH4" s="6">
        <v>12296</v>
      </c>
      <c r="AI4" s="5" t="s">
        <v>263</v>
      </c>
      <c r="AJ4" s="38">
        <v>148.120978210478</v>
      </c>
      <c r="AK4" s="29">
        <v>52.702772279985801</v>
      </c>
      <c r="AL4" s="29">
        <v>12.6103300829632</v>
      </c>
      <c r="AM4" s="29">
        <v>34.558724269511799</v>
      </c>
      <c r="AN4" s="2">
        <v>5</v>
      </c>
      <c r="AO4" s="2" t="s">
        <v>954</v>
      </c>
      <c r="AP4" s="26">
        <v>4.1944588235448749E-2</v>
      </c>
      <c r="AQ4" s="2" t="s">
        <v>264</v>
      </c>
      <c r="AR4" s="2" t="s">
        <v>265</v>
      </c>
      <c r="AS4" s="2" t="s">
        <v>266</v>
      </c>
      <c r="AU4" s="2" t="s">
        <v>706</v>
      </c>
      <c r="AV4" s="2">
        <v>98.5</v>
      </c>
    </row>
    <row r="5" spans="1:48" x14ac:dyDescent="0.2">
      <c r="A5" s="12" t="s">
        <v>784</v>
      </c>
      <c r="B5" s="2" t="s">
        <v>987</v>
      </c>
      <c r="C5" s="32">
        <v>86</v>
      </c>
      <c r="D5" s="45" t="s">
        <v>22</v>
      </c>
      <c r="E5" s="46">
        <v>52</v>
      </c>
      <c r="F5" s="41" t="s">
        <v>216</v>
      </c>
      <c r="G5" s="41" t="s">
        <v>59</v>
      </c>
      <c r="H5" s="2" t="s">
        <v>38</v>
      </c>
      <c r="I5" s="2">
        <v>1</v>
      </c>
      <c r="J5" s="2">
        <v>0</v>
      </c>
      <c r="K5" s="2">
        <v>1</v>
      </c>
      <c r="L5" s="2" t="s">
        <v>22</v>
      </c>
      <c r="M5" s="17">
        <v>14.14</v>
      </c>
      <c r="N5" s="17">
        <v>13.21</v>
      </c>
      <c r="O5" s="17">
        <v>12.8</v>
      </c>
      <c r="P5" s="6">
        <v>1132</v>
      </c>
      <c r="Q5" s="6">
        <v>554</v>
      </c>
      <c r="R5" s="6">
        <v>445</v>
      </c>
      <c r="S5" s="6">
        <v>278847</v>
      </c>
      <c r="T5" s="18">
        <v>42.9</v>
      </c>
      <c r="U5" s="6">
        <v>39296</v>
      </c>
      <c r="V5" s="21">
        <v>127</v>
      </c>
      <c r="W5" s="21">
        <v>127</v>
      </c>
      <c r="X5" s="21">
        <v>0</v>
      </c>
      <c r="Y5" s="21">
        <v>13</v>
      </c>
      <c r="Z5" s="22">
        <f t="shared" si="0"/>
        <v>54.901960784313722</v>
      </c>
      <c r="AA5" s="22">
        <f t="shared" si="1"/>
        <v>100</v>
      </c>
      <c r="AB5" s="18">
        <v>98</v>
      </c>
      <c r="AC5" s="6">
        <v>543</v>
      </c>
      <c r="AD5" s="6">
        <v>10</v>
      </c>
      <c r="AE5" s="6">
        <v>1</v>
      </c>
      <c r="AF5" s="6">
        <v>0</v>
      </c>
      <c r="AG5" s="7">
        <v>6677</v>
      </c>
      <c r="AH5" s="6">
        <v>6672</v>
      </c>
      <c r="AI5" s="5" t="s">
        <v>217</v>
      </c>
      <c r="AJ5" s="38">
        <v>25.758899817850601</v>
      </c>
      <c r="AK5" s="29">
        <v>80.622616789174899</v>
      </c>
      <c r="AL5" s="29">
        <v>4.6648846003390299</v>
      </c>
      <c r="AM5" s="29">
        <v>14.535602528589999</v>
      </c>
      <c r="AN5" s="2">
        <v>1</v>
      </c>
      <c r="AO5" s="2" t="s">
        <v>945</v>
      </c>
      <c r="AP5" s="26">
        <v>3.8449835728029597E-2</v>
      </c>
      <c r="AQ5" s="2" t="s">
        <v>218</v>
      </c>
      <c r="AR5" s="2" t="s">
        <v>219</v>
      </c>
      <c r="AS5" s="2" t="s">
        <v>220</v>
      </c>
      <c r="AT5" s="13" t="s">
        <v>648</v>
      </c>
      <c r="AU5" s="2" t="s">
        <v>715</v>
      </c>
      <c r="AV5" s="29">
        <v>90.7</v>
      </c>
    </row>
    <row r="6" spans="1:48" x14ac:dyDescent="0.2">
      <c r="A6" s="12" t="s">
        <v>836</v>
      </c>
      <c r="B6" s="2" t="s">
        <v>987</v>
      </c>
      <c r="C6" s="32">
        <v>109</v>
      </c>
      <c r="D6" s="45" t="s">
        <v>22</v>
      </c>
      <c r="E6" s="46">
        <v>76</v>
      </c>
      <c r="F6" s="41" t="s">
        <v>284</v>
      </c>
      <c r="G6" s="41" t="s">
        <v>120</v>
      </c>
      <c r="H6" s="2" t="s">
        <v>121</v>
      </c>
      <c r="I6" s="2">
        <v>1</v>
      </c>
      <c r="J6" s="2">
        <v>0</v>
      </c>
      <c r="K6" s="2">
        <v>1</v>
      </c>
      <c r="L6" s="2" t="s">
        <v>22</v>
      </c>
      <c r="M6" s="17">
        <v>39.07</v>
      </c>
      <c r="N6" s="17">
        <v>33.17</v>
      </c>
      <c r="O6" s="17">
        <v>30.1</v>
      </c>
      <c r="P6" s="6">
        <v>6249</v>
      </c>
      <c r="Q6" s="6">
        <v>2713</v>
      </c>
      <c r="R6" s="6">
        <v>1914</v>
      </c>
      <c r="S6" s="6">
        <v>92414</v>
      </c>
      <c r="T6" s="18">
        <v>63.29</v>
      </c>
      <c r="U6" s="6">
        <v>15234</v>
      </c>
      <c r="V6" s="21">
        <v>100</v>
      </c>
      <c r="W6" s="21">
        <v>93</v>
      </c>
      <c r="X6" s="21">
        <v>7</v>
      </c>
      <c r="Y6" s="21">
        <v>21</v>
      </c>
      <c r="Z6" s="22">
        <f t="shared" si="0"/>
        <v>47.450980392156865</v>
      </c>
      <c r="AA6" s="22">
        <f t="shared" si="1"/>
        <v>93</v>
      </c>
      <c r="AB6" s="18">
        <v>97.2</v>
      </c>
      <c r="AC6" s="6">
        <v>2638</v>
      </c>
      <c r="AD6" s="6">
        <v>73</v>
      </c>
      <c r="AE6" s="6">
        <v>0</v>
      </c>
      <c r="AF6" s="6">
        <v>2</v>
      </c>
      <c r="AG6" s="7">
        <v>17312</v>
      </c>
      <c r="AH6" s="6">
        <v>17278</v>
      </c>
      <c r="AI6" s="5" t="s">
        <v>285</v>
      </c>
      <c r="AJ6" s="38">
        <v>82.332425711274993</v>
      </c>
      <c r="AK6" s="29">
        <v>62.3420395294862</v>
      </c>
      <c r="AL6" s="29">
        <v>8.6565358314039909</v>
      </c>
      <c r="AM6" s="29">
        <v>28.855707320929</v>
      </c>
      <c r="AN6" s="2">
        <v>4</v>
      </c>
      <c r="AO6" s="2" t="s">
        <v>959</v>
      </c>
      <c r="AP6" s="26">
        <v>2.6529931504967429E-2</v>
      </c>
      <c r="AQ6" s="2" t="s">
        <v>286</v>
      </c>
      <c r="AR6" s="8" t="s">
        <v>55</v>
      </c>
      <c r="AS6" s="2" t="s">
        <v>287</v>
      </c>
      <c r="AU6" s="2" t="s">
        <v>727</v>
      </c>
      <c r="AV6" s="29">
        <v>99.2</v>
      </c>
    </row>
    <row r="7" spans="1:48" x14ac:dyDescent="0.2">
      <c r="A7" s="12" t="s">
        <v>798</v>
      </c>
      <c r="B7" s="2" t="s">
        <v>993</v>
      </c>
      <c r="C7" s="32">
        <v>28</v>
      </c>
      <c r="D7" s="45">
        <v>33</v>
      </c>
      <c r="E7" s="45">
        <v>47</v>
      </c>
      <c r="F7" s="41" t="s">
        <v>601</v>
      </c>
      <c r="G7" s="41" t="s">
        <v>105</v>
      </c>
      <c r="H7" s="2" t="s">
        <v>86</v>
      </c>
      <c r="I7" s="2">
        <v>7</v>
      </c>
      <c r="J7" s="2">
        <v>1</v>
      </c>
      <c r="K7" s="16">
        <v>6</v>
      </c>
      <c r="L7" s="16">
        <v>7</v>
      </c>
      <c r="M7" s="38">
        <v>10.31</v>
      </c>
      <c r="N7" s="38">
        <v>8.0299999999999994</v>
      </c>
      <c r="O7" s="38">
        <v>7.08</v>
      </c>
      <c r="P7" s="2">
        <v>2123</v>
      </c>
      <c r="Q7" s="2">
        <v>721</v>
      </c>
      <c r="R7" s="2">
        <v>475</v>
      </c>
      <c r="S7" s="2">
        <v>247739</v>
      </c>
      <c r="T7" s="29">
        <v>66.91</v>
      </c>
      <c r="U7" s="2">
        <v>11161</v>
      </c>
      <c r="V7" s="21">
        <v>89</v>
      </c>
      <c r="W7" s="21">
        <v>88</v>
      </c>
      <c r="X7" s="21">
        <v>1</v>
      </c>
      <c r="Y7" s="21">
        <v>24</v>
      </c>
      <c r="Z7" s="22">
        <f t="shared" si="0"/>
        <v>44.313725490196077</v>
      </c>
      <c r="AA7" s="22">
        <f t="shared" si="1"/>
        <v>98.876404494382029</v>
      </c>
      <c r="AB7" s="29">
        <v>90.2</v>
      </c>
      <c r="AC7" s="2">
        <v>650</v>
      </c>
      <c r="AD7" s="2">
        <v>63</v>
      </c>
      <c r="AE7" s="2">
        <v>4</v>
      </c>
      <c r="AF7" s="2">
        <v>4</v>
      </c>
      <c r="AG7" s="2">
        <v>5541</v>
      </c>
      <c r="AH7" s="2">
        <v>5517</v>
      </c>
      <c r="AI7" s="5" t="s">
        <v>187</v>
      </c>
      <c r="AJ7" s="38">
        <v>23.258099751749</v>
      </c>
      <c r="AK7" s="29">
        <v>69.714498745544205</v>
      </c>
      <c r="AL7" s="29">
        <v>5.8834054748922497</v>
      </c>
      <c r="AM7" s="29">
        <v>24.2407961291965</v>
      </c>
      <c r="AN7" s="2">
        <v>2</v>
      </c>
      <c r="AO7" s="39" t="s">
        <v>905</v>
      </c>
      <c r="AP7" s="26">
        <v>0.56193309163635741</v>
      </c>
      <c r="AQ7" s="10" t="s">
        <v>188</v>
      </c>
      <c r="AR7" s="10" t="s">
        <v>189</v>
      </c>
      <c r="AS7" s="10" t="s">
        <v>190</v>
      </c>
      <c r="AU7" s="2" t="s">
        <v>685</v>
      </c>
      <c r="AV7" s="2">
        <v>98.3</v>
      </c>
    </row>
    <row r="8" spans="1:48" x14ac:dyDescent="0.2">
      <c r="A8" s="12" t="s">
        <v>794</v>
      </c>
      <c r="B8" s="2" t="s">
        <v>990</v>
      </c>
      <c r="C8" s="32">
        <v>18</v>
      </c>
      <c r="D8" s="45">
        <v>21</v>
      </c>
      <c r="E8" s="45" t="s">
        <v>22</v>
      </c>
      <c r="F8" s="41" t="s">
        <v>507</v>
      </c>
      <c r="G8" s="41" t="s">
        <v>431</v>
      </c>
      <c r="H8" s="2" t="s">
        <v>315</v>
      </c>
      <c r="I8" s="2">
        <v>1</v>
      </c>
      <c r="J8" s="2">
        <v>1</v>
      </c>
      <c r="K8" s="2">
        <v>0</v>
      </c>
      <c r="L8" s="2" t="s">
        <v>22</v>
      </c>
      <c r="M8" s="38">
        <v>12.51</v>
      </c>
      <c r="N8" s="38">
        <v>10.33</v>
      </c>
      <c r="O8" s="38">
        <v>9.41</v>
      </c>
      <c r="P8" s="2">
        <v>2172</v>
      </c>
      <c r="Q8" s="2">
        <v>828</v>
      </c>
      <c r="R8" s="2">
        <v>593</v>
      </c>
      <c r="S8" s="2">
        <v>103230</v>
      </c>
      <c r="T8" s="29">
        <v>43.93</v>
      </c>
      <c r="U8" s="2">
        <v>15186</v>
      </c>
      <c r="V8" s="21">
        <v>32</v>
      </c>
      <c r="W8" s="21">
        <v>31</v>
      </c>
      <c r="X8" s="21">
        <v>1</v>
      </c>
      <c r="Y8" s="21">
        <v>11</v>
      </c>
      <c r="Z8" s="22">
        <f t="shared" si="0"/>
        <v>16.862745098039216</v>
      </c>
      <c r="AA8" s="22">
        <f t="shared" si="1"/>
        <v>96.875</v>
      </c>
      <c r="AB8" s="29">
        <v>96</v>
      </c>
      <c r="AC8" s="2">
        <v>795</v>
      </c>
      <c r="AD8" s="2">
        <v>33</v>
      </c>
      <c r="AE8" s="2">
        <v>0</v>
      </c>
      <c r="AF8" s="2">
        <v>0</v>
      </c>
      <c r="AG8" s="6">
        <v>4814</v>
      </c>
      <c r="AH8" s="2">
        <v>4768</v>
      </c>
      <c r="AI8" s="12" t="s">
        <v>452</v>
      </c>
      <c r="AJ8" s="38">
        <v>74.180154211150693</v>
      </c>
      <c r="AK8" s="29">
        <v>56.081976055536003</v>
      </c>
      <c r="AL8" s="29">
        <v>16.614884062029098</v>
      </c>
      <c r="AM8" s="29">
        <v>27.163727432829599</v>
      </c>
      <c r="AN8" s="2">
        <v>3</v>
      </c>
      <c r="AO8" s="2" t="s">
        <v>897</v>
      </c>
      <c r="AP8" s="26">
        <v>0.24744637990445636</v>
      </c>
      <c r="AQ8" s="2" t="s">
        <v>579</v>
      </c>
      <c r="AR8" s="2" t="s">
        <v>453</v>
      </c>
      <c r="AS8" s="2" t="s">
        <v>454</v>
      </c>
      <c r="AU8" s="2" t="s">
        <v>678</v>
      </c>
      <c r="AV8" s="29">
        <v>88</v>
      </c>
    </row>
    <row r="9" spans="1:48" x14ac:dyDescent="0.2">
      <c r="A9" s="12" t="s">
        <v>796</v>
      </c>
      <c r="B9" s="2" t="s">
        <v>990</v>
      </c>
      <c r="C9" s="32">
        <v>41</v>
      </c>
      <c r="D9" s="45" t="s">
        <v>22</v>
      </c>
      <c r="E9" s="46">
        <v>1</v>
      </c>
      <c r="F9" s="41" t="s">
        <v>602</v>
      </c>
      <c r="G9" s="41" t="s">
        <v>20</v>
      </c>
      <c r="H9" s="2" t="s">
        <v>21</v>
      </c>
      <c r="I9" s="2">
        <v>32</v>
      </c>
      <c r="J9" s="2">
        <v>0</v>
      </c>
      <c r="K9" s="16">
        <v>32</v>
      </c>
      <c r="L9" s="16">
        <v>22</v>
      </c>
      <c r="M9" s="38">
        <v>30.57</v>
      </c>
      <c r="N9" s="38">
        <v>24.45</v>
      </c>
      <c r="O9" s="38">
        <v>20.94</v>
      </c>
      <c r="P9" s="2">
        <v>6408</v>
      </c>
      <c r="Q9" s="2">
        <v>2497</v>
      </c>
      <c r="R9" s="2">
        <v>1594</v>
      </c>
      <c r="S9" s="2">
        <v>92190</v>
      </c>
      <c r="T9" s="29">
        <v>56.77</v>
      </c>
      <c r="U9" s="2">
        <v>9831</v>
      </c>
      <c r="V9" s="21">
        <v>199</v>
      </c>
      <c r="W9" s="21">
        <v>185</v>
      </c>
      <c r="X9" s="21">
        <v>14</v>
      </c>
      <c r="Y9" s="21">
        <v>22</v>
      </c>
      <c r="Z9" s="22">
        <f t="shared" si="0"/>
        <v>86.666666666666671</v>
      </c>
      <c r="AA9" s="22">
        <f t="shared" si="1"/>
        <v>92.964824120603012</v>
      </c>
      <c r="AB9" s="29">
        <v>99.5</v>
      </c>
      <c r="AC9" s="2">
        <v>2484</v>
      </c>
      <c r="AD9" s="2">
        <v>7</v>
      </c>
      <c r="AE9" s="2">
        <v>5</v>
      </c>
      <c r="AF9" s="2">
        <v>1</v>
      </c>
      <c r="AG9" s="2">
        <v>15937</v>
      </c>
      <c r="AH9" s="2">
        <v>15920</v>
      </c>
      <c r="AI9" s="5" t="s">
        <v>23</v>
      </c>
      <c r="AJ9" s="38">
        <v>35.274678666205098</v>
      </c>
      <c r="AK9" s="29">
        <v>78.408304256064397</v>
      </c>
      <c r="AL9" s="29">
        <v>3.4358420183534499</v>
      </c>
      <c r="AM9" s="29">
        <v>17.986414224204399</v>
      </c>
      <c r="AN9" s="2">
        <v>1</v>
      </c>
      <c r="AO9" s="2" t="s">
        <v>915</v>
      </c>
      <c r="AP9" s="26">
        <v>0.614083741399574</v>
      </c>
      <c r="AQ9" s="2" t="s">
        <v>24</v>
      </c>
      <c r="AR9" s="2" t="s">
        <v>25</v>
      </c>
      <c r="AS9" s="2" t="s">
        <v>26</v>
      </c>
      <c r="AU9" s="2" t="s">
        <v>692</v>
      </c>
      <c r="AV9" s="2">
        <v>99.9</v>
      </c>
    </row>
    <row r="10" spans="1:48" x14ac:dyDescent="0.2">
      <c r="A10" s="12" t="s">
        <v>768</v>
      </c>
      <c r="B10" s="2" t="s">
        <v>987</v>
      </c>
      <c r="C10" s="32">
        <v>99</v>
      </c>
      <c r="D10" s="45" t="s">
        <v>22</v>
      </c>
      <c r="E10" s="46">
        <v>66</v>
      </c>
      <c r="F10" s="41" t="s">
        <v>619</v>
      </c>
      <c r="G10" s="41" t="s">
        <v>120</v>
      </c>
      <c r="H10" s="2" t="s">
        <v>121</v>
      </c>
      <c r="I10" s="2">
        <v>1</v>
      </c>
      <c r="J10" s="2">
        <v>0</v>
      </c>
      <c r="K10" s="2">
        <v>1</v>
      </c>
      <c r="L10" s="2" t="s">
        <v>22</v>
      </c>
      <c r="M10" s="17">
        <v>20.309999999999999</v>
      </c>
      <c r="N10" s="17">
        <v>18</v>
      </c>
      <c r="O10" s="17">
        <v>16.66</v>
      </c>
      <c r="P10" s="6">
        <v>2716</v>
      </c>
      <c r="Q10" s="6">
        <v>1312</v>
      </c>
      <c r="R10" s="6">
        <v>967</v>
      </c>
      <c r="S10" s="6">
        <v>90896</v>
      </c>
      <c r="T10" s="18">
        <v>65.72</v>
      </c>
      <c r="U10" s="6">
        <v>17826</v>
      </c>
      <c r="V10" s="21">
        <v>69</v>
      </c>
      <c r="W10" s="21">
        <v>69</v>
      </c>
      <c r="X10" s="21">
        <v>0</v>
      </c>
      <c r="Y10" s="21">
        <v>10</v>
      </c>
      <c r="Z10" s="22">
        <f t="shared" si="0"/>
        <v>30.980392156862745</v>
      </c>
      <c r="AA10" s="22">
        <f t="shared" si="1"/>
        <v>100</v>
      </c>
      <c r="AB10" s="18">
        <v>98.9</v>
      </c>
      <c r="AC10" s="6">
        <v>1298</v>
      </c>
      <c r="AD10" s="6">
        <v>8</v>
      </c>
      <c r="AE10" s="6">
        <v>1</v>
      </c>
      <c r="AF10" s="6">
        <v>5</v>
      </c>
      <c r="AG10" s="7">
        <v>10625</v>
      </c>
      <c r="AH10" s="6">
        <v>10615</v>
      </c>
      <c r="AI10" s="5" t="s">
        <v>258</v>
      </c>
      <c r="AJ10" s="38">
        <v>65.558511943189202</v>
      </c>
      <c r="AK10" s="29">
        <v>75.165079790391204</v>
      </c>
      <c r="AL10" s="29">
        <v>2.7005035493059699</v>
      </c>
      <c r="AM10" s="29">
        <v>21.9578388546702</v>
      </c>
      <c r="AN10" s="2">
        <v>2</v>
      </c>
      <c r="AO10" s="2" t="s">
        <v>953</v>
      </c>
      <c r="AP10" s="26">
        <v>4.5295362000785752E-2</v>
      </c>
      <c r="AQ10" s="2" t="s">
        <v>259</v>
      </c>
      <c r="AR10" s="2" t="s">
        <v>260</v>
      </c>
      <c r="AS10" s="2" t="s">
        <v>261</v>
      </c>
      <c r="AU10" s="2" t="s">
        <v>723</v>
      </c>
      <c r="AV10" s="2">
        <v>97.2</v>
      </c>
    </row>
    <row r="11" spans="1:48" x14ac:dyDescent="0.2">
      <c r="A11" s="12" t="s">
        <v>769</v>
      </c>
      <c r="B11" s="2" t="s">
        <v>987</v>
      </c>
      <c r="C11" s="32">
        <v>115</v>
      </c>
      <c r="D11" s="45" t="s">
        <v>22</v>
      </c>
      <c r="E11" s="46">
        <v>82</v>
      </c>
      <c r="F11" s="41" t="s">
        <v>623</v>
      </c>
      <c r="G11" s="41" t="s">
        <v>120</v>
      </c>
      <c r="H11" s="2" t="s">
        <v>121</v>
      </c>
      <c r="I11" s="2">
        <v>2</v>
      </c>
      <c r="J11" s="2">
        <v>0</v>
      </c>
      <c r="K11" s="16">
        <v>2</v>
      </c>
      <c r="L11" s="16">
        <v>2</v>
      </c>
      <c r="M11" s="38">
        <v>38.299999999999997</v>
      </c>
      <c r="N11" s="38">
        <v>32.119999999999997</v>
      </c>
      <c r="O11" s="38">
        <v>29</v>
      </c>
      <c r="P11" s="2">
        <v>6371</v>
      </c>
      <c r="Q11" s="2">
        <v>2615</v>
      </c>
      <c r="R11" s="2">
        <v>1804</v>
      </c>
      <c r="S11" s="2">
        <v>172516</v>
      </c>
      <c r="T11" s="29">
        <v>65.09</v>
      </c>
      <c r="U11" s="2">
        <v>14884</v>
      </c>
      <c r="V11" s="21">
        <v>119</v>
      </c>
      <c r="W11" s="21">
        <v>117</v>
      </c>
      <c r="X11" s="21">
        <v>2</v>
      </c>
      <c r="Y11" s="21">
        <v>21</v>
      </c>
      <c r="Z11" s="22">
        <f t="shared" si="0"/>
        <v>54.901960784313722</v>
      </c>
      <c r="AA11" s="22">
        <f t="shared" si="1"/>
        <v>98.319327731092443</v>
      </c>
      <c r="AB11" s="29">
        <v>99</v>
      </c>
      <c r="AC11" s="2">
        <v>2588</v>
      </c>
      <c r="AD11" s="2">
        <v>27</v>
      </c>
      <c r="AE11" s="2">
        <v>0</v>
      </c>
      <c r="AF11" s="2">
        <v>0</v>
      </c>
      <c r="AG11" s="2">
        <v>21423</v>
      </c>
      <c r="AH11" s="2">
        <v>21386</v>
      </c>
      <c r="AI11" s="5" t="s">
        <v>301</v>
      </c>
      <c r="AJ11" s="38">
        <v>69.754531876138401</v>
      </c>
      <c r="AK11" s="29">
        <v>79.615943371340293</v>
      </c>
      <c r="AL11" s="29">
        <v>2.7874640705980198</v>
      </c>
      <c r="AM11" s="29">
        <v>17.420957143548801</v>
      </c>
      <c r="AN11" s="2">
        <v>1</v>
      </c>
      <c r="AO11" s="2" t="s">
        <v>953</v>
      </c>
      <c r="AP11" s="26">
        <v>4.5295362000785752E-2</v>
      </c>
      <c r="AQ11" s="2" t="s">
        <v>259</v>
      </c>
      <c r="AR11" s="2" t="s">
        <v>260</v>
      </c>
      <c r="AS11" s="2" t="s">
        <v>261</v>
      </c>
      <c r="AU11" s="2" t="s">
        <v>723</v>
      </c>
      <c r="AV11" s="2">
        <v>97.1</v>
      </c>
    </row>
    <row r="12" spans="1:48" x14ac:dyDescent="0.2">
      <c r="A12" s="12" t="s">
        <v>788</v>
      </c>
      <c r="B12" s="2" t="s">
        <v>986</v>
      </c>
      <c r="C12" s="32">
        <v>26</v>
      </c>
      <c r="D12" s="45">
        <v>31</v>
      </c>
      <c r="E12" s="45" t="s">
        <v>22</v>
      </c>
      <c r="F12" s="41" t="s">
        <v>517</v>
      </c>
      <c r="G12" s="41" t="s">
        <v>406</v>
      </c>
      <c r="H12" s="2" t="s">
        <v>38</v>
      </c>
      <c r="I12" s="2">
        <v>2</v>
      </c>
      <c r="J12" s="2">
        <v>2</v>
      </c>
      <c r="K12" s="2">
        <v>0</v>
      </c>
      <c r="L12" s="2">
        <v>2</v>
      </c>
      <c r="M12" s="38">
        <v>16.93</v>
      </c>
      <c r="N12" s="38">
        <v>11.66</v>
      </c>
      <c r="O12" s="38">
        <v>8.25</v>
      </c>
      <c r="P12" s="2">
        <v>5091</v>
      </c>
      <c r="Q12" s="2">
        <v>1874</v>
      </c>
      <c r="R12" s="2">
        <v>1003</v>
      </c>
      <c r="S12" s="2">
        <v>28470</v>
      </c>
      <c r="T12" s="29">
        <v>60.24</v>
      </c>
      <c r="U12" s="2">
        <v>4871</v>
      </c>
      <c r="V12" s="21">
        <v>17</v>
      </c>
      <c r="W12" s="21">
        <v>17</v>
      </c>
      <c r="X12" s="21">
        <v>0</v>
      </c>
      <c r="Y12" s="21">
        <v>12</v>
      </c>
      <c r="Z12" s="22">
        <f t="shared" si="0"/>
        <v>11.372549019607844</v>
      </c>
      <c r="AA12" s="22">
        <f t="shared" si="1"/>
        <v>100</v>
      </c>
      <c r="AB12" s="29">
        <v>99</v>
      </c>
      <c r="AC12" s="2">
        <v>1856</v>
      </c>
      <c r="AD12" s="2">
        <v>16</v>
      </c>
      <c r="AE12" s="2">
        <v>2</v>
      </c>
      <c r="AF12" s="2">
        <v>0</v>
      </c>
      <c r="AG12" s="6">
        <v>7927</v>
      </c>
      <c r="AH12" s="2">
        <v>7911</v>
      </c>
      <c r="AI12" s="12" t="s">
        <v>428</v>
      </c>
      <c r="AJ12" s="38">
        <v>148.88417766051001</v>
      </c>
      <c r="AK12" s="29">
        <v>70.3509737725919</v>
      </c>
      <c r="AL12" s="29">
        <v>5.5681752462808802</v>
      </c>
      <c r="AM12" s="29">
        <v>23.8991416122666</v>
      </c>
      <c r="AN12" s="2">
        <v>3</v>
      </c>
      <c r="AO12" s="2" t="s">
        <v>904</v>
      </c>
      <c r="AP12" s="26">
        <v>0.26131942544699627</v>
      </c>
      <c r="AQ12" s="2" t="s">
        <v>587</v>
      </c>
      <c r="AR12" s="2" t="s">
        <v>429</v>
      </c>
      <c r="AS12" s="2" t="s">
        <v>430</v>
      </c>
      <c r="AT12" s="23" t="s">
        <v>640</v>
      </c>
      <c r="AU12" s="2" t="s">
        <v>684</v>
      </c>
      <c r="AV12" s="29">
        <v>91.2</v>
      </c>
    </row>
    <row r="13" spans="1:48" x14ac:dyDescent="0.2">
      <c r="A13" s="12" t="s">
        <v>783</v>
      </c>
      <c r="B13" s="2" t="s">
        <v>986</v>
      </c>
      <c r="C13" s="31">
        <v>13</v>
      </c>
      <c r="D13" s="45">
        <v>14</v>
      </c>
      <c r="E13" s="45" t="s">
        <v>22</v>
      </c>
      <c r="F13" s="41" t="s">
        <v>519</v>
      </c>
      <c r="G13" s="41" t="s">
        <v>406</v>
      </c>
      <c r="H13" s="2" t="s">
        <v>38</v>
      </c>
      <c r="I13" s="2">
        <v>6</v>
      </c>
      <c r="J13" s="2">
        <v>6</v>
      </c>
      <c r="K13" s="2">
        <v>0</v>
      </c>
      <c r="L13" s="2">
        <v>6</v>
      </c>
      <c r="M13" s="38">
        <v>35.450000000000003</v>
      </c>
      <c r="N13" s="38">
        <v>25.12</v>
      </c>
      <c r="O13" s="38">
        <v>19.77</v>
      </c>
      <c r="P13" s="2">
        <v>9540</v>
      </c>
      <c r="Q13" s="2">
        <v>3295</v>
      </c>
      <c r="R13" s="2">
        <v>1899</v>
      </c>
      <c r="S13" s="2">
        <v>56191</v>
      </c>
      <c r="T13" s="29">
        <v>63.09</v>
      </c>
      <c r="U13" s="2">
        <v>5982</v>
      </c>
      <c r="V13" s="21">
        <v>92</v>
      </c>
      <c r="W13" s="21">
        <v>91</v>
      </c>
      <c r="X13" s="21">
        <v>1</v>
      </c>
      <c r="Y13" s="21">
        <v>21</v>
      </c>
      <c r="Z13" s="22">
        <f t="shared" si="0"/>
        <v>44.313725490196077</v>
      </c>
      <c r="AA13" s="22">
        <f t="shared" si="1"/>
        <v>98.913043478260875</v>
      </c>
      <c r="AB13" s="29">
        <v>95.9</v>
      </c>
      <c r="AC13" s="2">
        <v>3159</v>
      </c>
      <c r="AD13" s="2">
        <v>130</v>
      </c>
      <c r="AE13" s="2">
        <v>5</v>
      </c>
      <c r="AF13" s="2">
        <v>1</v>
      </c>
      <c r="AG13" s="6">
        <v>18458</v>
      </c>
      <c r="AH13" s="2">
        <v>18405</v>
      </c>
      <c r="AI13" s="12" t="s">
        <v>407</v>
      </c>
      <c r="AJ13" s="38">
        <v>80.004008124576799</v>
      </c>
      <c r="AK13" s="29">
        <v>77.966991949399102</v>
      </c>
      <c r="AL13" s="29">
        <v>3.9423831620261902</v>
      </c>
      <c r="AM13" s="29">
        <v>17.897876138907101</v>
      </c>
      <c r="AN13" s="2">
        <v>1</v>
      </c>
      <c r="AO13" s="2" t="s">
        <v>893</v>
      </c>
      <c r="AP13" s="26">
        <v>8.6753980018440448E-3</v>
      </c>
      <c r="AQ13" s="2" t="s">
        <v>575</v>
      </c>
      <c r="AR13" s="2" t="s">
        <v>408</v>
      </c>
      <c r="AS13" s="2" t="s">
        <v>409</v>
      </c>
      <c r="AT13" s="23" t="s">
        <v>637</v>
      </c>
      <c r="AU13" s="2" t="s">
        <v>673</v>
      </c>
      <c r="AV13" s="29">
        <v>91.4</v>
      </c>
    </row>
    <row r="14" spans="1:48" x14ac:dyDescent="0.2">
      <c r="A14" s="12" t="s">
        <v>823</v>
      </c>
      <c r="B14" s="2" t="s">
        <v>987</v>
      </c>
      <c r="C14" s="32">
        <v>62</v>
      </c>
      <c r="D14" s="45" t="s">
        <v>22</v>
      </c>
      <c r="E14" s="46">
        <v>25</v>
      </c>
      <c r="F14" s="41" t="s">
        <v>104</v>
      </c>
      <c r="G14" s="41" t="s">
        <v>105</v>
      </c>
      <c r="H14" s="2" t="s">
        <v>86</v>
      </c>
      <c r="I14" s="2">
        <v>25</v>
      </c>
      <c r="J14" s="2">
        <v>0</v>
      </c>
      <c r="K14" s="16">
        <v>25</v>
      </c>
      <c r="L14" s="16">
        <v>24</v>
      </c>
      <c r="M14" s="38">
        <v>23.59</v>
      </c>
      <c r="N14" s="38">
        <v>20.260000000000002</v>
      </c>
      <c r="O14" s="38">
        <v>18.97</v>
      </c>
      <c r="P14" s="2">
        <v>3168</v>
      </c>
      <c r="Q14" s="2">
        <v>1069</v>
      </c>
      <c r="R14" s="2">
        <v>733</v>
      </c>
      <c r="S14" s="2">
        <v>303287</v>
      </c>
      <c r="T14" s="29">
        <v>65.2</v>
      </c>
      <c r="U14" s="2">
        <v>37068</v>
      </c>
      <c r="V14" s="21">
        <v>211</v>
      </c>
      <c r="W14" s="21">
        <v>206</v>
      </c>
      <c r="X14" s="21">
        <v>5</v>
      </c>
      <c r="Y14" s="21">
        <v>14</v>
      </c>
      <c r="Z14" s="22">
        <f t="shared" si="0"/>
        <v>88.235294117647058</v>
      </c>
      <c r="AA14" s="22">
        <f t="shared" si="1"/>
        <v>97.630331753554501</v>
      </c>
      <c r="AB14" s="29">
        <v>98.6</v>
      </c>
      <c r="AC14" s="2">
        <v>1054</v>
      </c>
      <c r="AD14" s="2">
        <v>10</v>
      </c>
      <c r="AE14" s="2">
        <v>2</v>
      </c>
      <c r="AF14" s="2">
        <v>3</v>
      </c>
      <c r="AG14" s="2">
        <v>11717</v>
      </c>
      <c r="AH14" s="2">
        <v>11710</v>
      </c>
      <c r="AI14" s="5" t="s">
        <v>106</v>
      </c>
      <c r="AJ14" s="38">
        <v>26.731758839528599</v>
      </c>
      <c r="AK14" s="29">
        <v>72.652579452761401</v>
      </c>
      <c r="AL14" s="29">
        <v>4.1861863929377297</v>
      </c>
      <c r="AM14" s="29">
        <v>23.003773427487001</v>
      </c>
      <c r="AN14" s="2">
        <v>2</v>
      </c>
      <c r="AO14" s="2" t="s">
        <v>926</v>
      </c>
      <c r="AP14" s="26">
        <v>1.2388758668695519</v>
      </c>
      <c r="AQ14" s="2" t="s">
        <v>107</v>
      </c>
      <c r="AR14" s="2" t="s">
        <v>108</v>
      </c>
      <c r="AS14" s="2" t="s">
        <v>109</v>
      </c>
      <c r="AT14" s="23" t="s">
        <v>643</v>
      </c>
      <c r="AU14" s="2" t="s">
        <v>104</v>
      </c>
      <c r="AV14" s="2">
        <v>100</v>
      </c>
    </row>
    <row r="15" spans="1:48" x14ac:dyDescent="0.2">
      <c r="A15" s="12" t="s">
        <v>760</v>
      </c>
      <c r="B15" s="2" t="s">
        <v>990</v>
      </c>
      <c r="C15" s="32">
        <v>23</v>
      </c>
      <c r="D15" s="45">
        <v>26</v>
      </c>
      <c r="E15" s="45" t="s">
        <v>22</v>
      </c>
      <c r="F15" s="41" t="s">
        <v>464</v>
      </c>
      <c r="G15" s="41" t="s">
        <v>424</v>
      </c>
      <c r="H15" s="2" t="s">
        <v>38</v>
      </c>
      <c r="I15" s="2">
        <v>1</v>
      </c>
      <c r="J15" s="2">
        <v>1</v>
      </c>
      <c r="K15" s="2">
        <v>0</v>
      </c>
      <c r="L15" s="2" t="s">
        <v>22</v>
      </c>
      <c r="M15" s="38">
        <v>5.65</v>
      </c>
      <c r="N15" s="38">
        <v>4.38</v>
      </c>
      <c r="O15" s="38">
        <v>3.64</v>
      </c>
      <c r="P15" s="2">
        <v>1322</v>
      </c>
      <c r="Q15" s="2">
        <v>553</v>
      </c>
      <c r="R15" s="2">
        <v>363</v>
      </c>
      <c r="S15" s="2">
        <v>34012</v>
      </c>
      <c r="T15" s="29">
        <v>58.17</v>
      </c>
      <c r="U15" s="2">
        <v>7477</v>
      </c>
      <c r="V15" s="21">
        <v>15</v>
      </c>
      <c r="W15" s="21">
        <v>15</v>
      </c>
      <c r="X15" s="21">
        <v>0</v>
      </c>
      <c r="Y15" s="21">
        <v>9</v>
      </c>
      <c r="Z15" s="22">
        <f t="shared" si="0"/>
        <v>9.4117647058823533</v>
      </c>
      <c r="AA15" s="22">
        <f t="shared" si="1"/>
        <v>100</v>
      </c>
      <c r="AB15" s="29">
        <v>100</v>
      </c>
      <c r="AC15" s="2">
        <v>553</v>
      </c>
      <c r="AD15" s="2">
        <v>0</v>
      </c>
      <c r="AE15" s="2">
        <v>0</v>
      </c>
      <c r="AF15" s="2">
        <v>0</v>
      </c>
      <c r="AG15" s="6">
        <v>2503</v>
      </c>
      <c r="AH15" s="2">
        <v>2498</v>
      </c>
      <c r="AI15" s="12" t="s">
        <v>465</v>
      </c>
      <c r="AJ15" s="38">
        <v>60.038884165781099</v>
      </c>
      <c r="AK15" s="29">
        <v>67.322523359374401</v>
      </c>
      <c r="AL15" s="29">
        <v>13.487309588065401</v>
      </c>
      <c r="AM15" s="29">
        <v>19.0396092932335</v>
      </c>
      <c r="AN15" s="2">
        <v>3</v>
      </c>
      <c r="AO15" s="39" t="s">
        <v>901</v>
      </c>
      <c r="AP15" s="26">
        <v>1.2587826158433372E-3</v>
      </c>
      <c r="AQ15" s="10" t="s">
        <v>584</v>
      </c>
      <c r="AR15" s="10" t="s">
        <v>466</v>
      </c>
      <c r="AS15" s="8" t="s">
        <v>55</v>
      </c>
      <c r="AU15" s="2" t="s">
        <v>683</v>
      </c>
      <c r="AV15" s="29">
        <v>91.2</v>
      </c>
    </row>
    <row r="16" spans="1:48" x14ac:dyDescent="0.2">
      <c r="A16" s="12" t="s">
        <v>792</v>
      </c>
      <c r="B16" s="2" t="s">
        <v>990</v>
      </c>
      <c r="C16" s="31">
        <v>8</v>
      </c>
      <c r="D16" s="45">
        <v>9</v>
      </c>
      <c r="E16" s="45" t="s">
        <v>22</v>
      </c>
      <c r="F16" s="41" t="s">
        <v>435</v>
      </c>
      <c r="G16" s="41" t="s">
        <v>27</v>
      </c>
      <c r="H16" s="2" t="s">
        <v>28</v>
      </c>
      <c r="I16" s="2">
        <v>1</v>
      </c>
      <c r="J16" s="2">
        <v>1</v>
      </c>
      <c r="K16" s="2">
        <v>0</v>
      </c>
      <c r="L16" s="2" t="s">
        <v>22</v>
      </c>
      <c r="M16" s="38">
        <v>2.4700000000000002</v>
      </c>
      <c r="N16" s="38">
        <v>1.67</v>
      </c>
      <c r="O16" s="38">
        <v>1.21</v>
      </c>
      <c r="P16" s="2">
        <v>744</v>
      </c>
      <c r="Q16" s="2">
        <v>250</v>
      </c>
      <c r="R16" s="2">
        <v>133</v>
      </c>
      <c r="S16" s="2">
        <v>33858</v>
      </c>
      <c r="T16" s="29">
        <v>55.65</v>
      </c>
      <c r="U16" s="2">
        <v>4914</v>
      </c>
      <c r="V16" s="21">
        <v>25</v>
      </c>
      <c r="W16" s="21">
        <v>25</v>
      </c>
      <c r="X16" s="21">
        <v>0</v>
      </c>
      <c r="Y16" s="21">
        <v>6</v>
      </c>
      <c r="Z16" s="22">
        <f t="shared" si="0"/>
        <v>12.156862745098039</v>
      </c>
      <c r="AA16" s="22">
        <f t="shared" si="1"/>
        <v>100</v>
      </c>
      <c r="AB16" s="29">
        <v>98.8</v>
      </c>
      <c r="AC16" s="2">
        <v>247</v>
      </c>
      <c r="AD16" s="2">
        <v>2</v>
      </c>
      <c r="AE16" s="2">
        <v>1</v>
      </c>
      <c r="AF16" s="2">
        <v>0</v>
      </c>
      <c r="AG16" s="6">
        <v>1331</v>
      </c>
      <c r="AH16" s="2">
        <v>1327</v>
      </c>
      <c r="AI16" s="12" t="s">
        <v>436</v>
      </c>
      <c r="AJ16" s="38">
        <v>20.278963815789499</v>
      </c>
      <c r="AK16" s="29">
        <v>78.171572336837897</v>
      </c>
      <c r="AL16" s="29">
        <v>8.3903708227592002</v>
      </c>
      <c r="AM16" s="29">
        <v>13.154836203253801</v>
      </c>
      <c r="AN16" s="2">
        <v>1</v>
      </c>
      <c r="AO16" s="2" t="s">
        <v>891</v>
      </c>
      <c r="AP16" s="26">
        <v>3.6049248568828504E-2</v>
      </c>
      <c r="AQ16" s="2" t="s">
        <v>571</v>
      </c>
      <c r="AR16" s="2" t="s">
        <v>437</v>
      </c>
      <c r="AS16" s="2" t="s">
        <v>438</v>
      </c>
      <c r="AU16" s="2" t="s">
        <v>668</v>
      </c>
      <c r="AV16" s="2">
        <v>89.5</v>
      </c>
    </row>
    <row r="17" spans="1:48" x14ac:dyDescent="0.2">
      <c r="A17" s="12" t="s">
        <v>845</v>
      </c>
      <c r="B17" s="2" t="s">
        <v>987</v>
      </c>
      <c r="C17" s="32">
        <v>66</v>
      </c>
      <c r="D17" s="45" t="s">
        <v>22</v>
      </c>
      <c r="E17" s="46">
        <v>31</v>
      </c>
      <c r="F17" s="41" t="s">
        <v>126</v>
      </c>
      <c r="G17" s="41" t="s">
        <v>127</v>
      </c>
      <c r="H17" s="2" t="s">
        <v>38</v>
      </c>
      <c r="I17" s="2">
        <v>1</v>
      </c>
      <c r="J17" s="2">
        <v>0</v>
      </c>
      <c r="K17" s="2">
        <v>1</v>
      </c>
      <c r="L17" s="2" t="s">
        <v>22</v>
      </c>
      <c r="M17" s="17">
        <v>9.4700000000000006</v>
      </c>
      <c r="N17" s="17">
        <v>8.07</v>
      </c>
      <c r="O17" s="17">
        <v>7.19</v>
      </c>
      <c r="P17" s="6">
        <v>1602</v>
      </c>
      <c r="Q17" s="6">
        <v>767</v>
      </c>
      <c r="R17" s="6">
        <v>543</v>
      </c>
      <c r="S17" s="6">
        <v>81620</v>
      </c>
      <c r="T17" s="18">
        <v>62.19</v>
      </c>
      <c r="U17" s="6">
        <v>11840</v>
      </c>
      <c r="V17" s="21">
        <v>44</v>
      </c>
      <c r="W17" s="21">
        <v>44</v>
      </c>
      <c r="X17" s="21">
        <v>0</v>
      </c>
      <c r="Y17" s="21">
        <v>15</v>
      </c>
      <c r="Z17" s="22">
        <f t="shared" si="0"/>
        <v>23.137254901960784</v>
      </c>
      <c r="AA17" s="22">
        <f t="shared" si="1"/>
        <v>100</v>
      </c>
      <c r="AB17" s="18">
        <v>95.6</v>
      </c>
      <c r="AC17" s="6">
        <v>733</v>
      </c>
      <c r="AD17" s="6">
        <v>30</v>
      </c>
      <c r="AE17" s="6">
        <v>0</v>
      </c>
      <c r="AF17" s="6">
        <v>4</v>
      </c>
      <c r="AG17" s="7">
        <v>3501</v>
      </c>
      <c r="AH17" s="6">
        <v>3477</v>
      </c>
      <c r="AI17" s="5" t="s">
        <v>128</v>
      </c>
      <c r="AJ17" s="38">
        <v>40.930622299049297</v>
      </c>
      <c r="AK17" s="29">
        <v>60.022978782529997</v>
      </c>
      <c r="AL17" s="29">
        <v>6.6624004655726896</v>
      </c>
      <c r="AM17" s="29">
        <v>33.203728382428402</v>
      </c>
      <c r="AN17" s="2">
        <v>4</v>
      </c>
      <c r="AO17" s="39" t="s">
        <v>929</v>
      </c>
      <c r="AP17" s="26">
        <v>1.7805896307510954E-3</v>
      </c>
      <c r="AQ17" s="8" t="s">
        <v>55</v>
      </c>
      <c r="AR17" s="8" t="s">
        <v>55</v>
      </c>
      <c r="AS17" s="8" t="s">
        <v>55</v>
      </c>
      <c r="AU17" s="2" t="s">
        <v>701</v>
      </c>
      <c r="AV17" s="29">
        <v>99.5</v>
      </c>
    </row>
    <row r="18" spans="1:48" x14ac:dyDescent="0.2">
      <c r="A18" s="12" t="s">
        <v>778</v>
      </c>
      <c r="B18" s="2" t="s">
        <v>987</v>
      </c>
      <c r="C18" s="32">
        <v>69</v>
      </c>
      <c r="D18" s="45" t="s">
        <v>22</v>
      </c>
      <c r="E18" s="46">
        <v>34</v>
      </c>
      <c r="F18" s="41" t="s">
        <v>136</v>
      </c>
      <c r="G18" s="41" t="s">
        <v>137</v>
      </c>
      <c r="H18" s="2" t="s">
        <v>38</v>
      </c>
      <c r="I18" s="2">
        <v>1</v>
      </c>
      <c r="J18" s="2">
        <v>0</v>
      </c>
      <c r="K18" s="2">
        <v>1</v>
      </c>
      <c r="L18" s="2" t="s">
        <v>22</v>
      </c>
      <c r="M18" s="17">
        <v>28.45</v>
      </c>
      <c r="N18" s="17">
        <v>23.32</v>
      </c>
      <c r="O18" s="17">
        <v>20.04</v>
      </c>
      <c r="P18" s="6">
        <v>5646</v>
      </c>
      <c r="Q18" s="6">
        <v>2550</v>
      </c>
      <c r="R18" s="6">
        <v>1699</v>
      </c>
      <c r="S18" s="6">
        <v>53736</v>
      </c>
      <c r="T18" s="18">
        <v>57.26</v>
      </c>
      <c r="U18" s="6">
        <v>9404</v>
      </c>
      <c r="V18" s="21">
        <v>56</v>
      </c>
      <c r="W18" s="21">
        <v>55</v>
      </c>
      <c r="X18" s="21">
        <v>1</v>
      </c>
      <c r="Y18" s="21">
        <v>28</v>
      </c>
      <c r="Z18" s="22">
        <f t="shared" si="0"/>
        <v>32.941176470588232</v>
      </c>
      <c r="AA18" s="22">
        <f t="shared" si="1"/>
        <v>98.214285714285708</v>
      </c>
      <c r="AB18" s="18">
        <v>99.6</v>
      </c>
      <c r="AC18" s="6">
        <v>2540</v>
      </c>
      <c r="AD18" s="6">
        <v>9</v>
      </c>
      <c r="AE18" s="6">
        <v>1</v>
      </c>
      <c r="AF18" s="6">
        <v>0</v>
      </c>
      <c r="AG18" s="7">
        <v>11018</v>
      </c>
      <c r="AH18" s="6">
        <v>10963</v>
      </c>
      <c r="AI18" s="5" t="s">
        <v>138</v>
      </c>
      <c r="AJ18" s="38">
        <v>86.370385549483899</v>
      </c>
      <c r="AK18" s="29">
        <v>49.8605696474268</v>
      </c>
      <c r="AL18" s="29">
        <v>26.475876178212602</v>
      </c>
      <c r="AM18" s="29">
        <v>23.5263364440682</v>
      </c>
      <c r="AN18" s="2">
        <v>5</v>
      </c>
      <c r="AO18" s="2" t="s">
        <v>932</v>
      </c>
      <c r="AP18" s="26">
        <v>4.3278107683770779E-2</v>
      </c>
      <c r="AQ18" s="2" t="s">
        <v>139</v>
      </c>
      <c r="AR18" s="2" t="s">
        <v>140</v>
      </c>
      <c r="AS18" s="2" t="s">
        <v>141</v>
      </c>
      <c r="AU18" s="2" t="s">
        <v>704</v>
      </c>
      <c r="AV18" s="2">
        <v>99.3</v>
      </c>
    </row>
    <row r="19" spans="1:48" x14ac:dyDescent="0.2">
      <c r="A19" s="12" t="s">
        <v>787</v>
      </c>
      <c r="B19" s="2" t="s">
        <v>987</v>
      </c>
      <c r="C19" s="32">
        <v>92</v>
      </c>
      <c r="D19" s="45" t="s">
        <v>22</v>
      </c>
      <c r="E19" s="46">
        <v>58</v>
      </c>
      <c r="F19" s="41" t="s">
        <v>615</v>
      </c>
      <c r="G19" s="41" t="s">
        <v>59</v>
      </c>
      <c r="H19" s="2" t="s">
        <v>38</v>
      </c>
      <c r="I19" s="2">
        <v>4</v>
      </c>
      <c r="J19" s="2">
        <v>0</v>
      </c>
      <c r="K19" s="16">
        <v>4</v>
      </c>
      <c r="L19" s="16">
        <v>4</v>
      </c>
      <c r="M19" s="38">
        <v>41.75</v>
      </c>
      <c r="N19" s="38">
        <v>36.26</v>
      </c>
      <c r="O19" s="38">
        <v>31.2</v>
      </c>
      <c r="P19" s="2">
        <v>7184</v>
      </c>
      <c r="Q19" s="2">
        <v>4055</v>
      </c>
      <c r="R19" s="2">
        <v>2765</v>
      </c>
      <c r="S19" s="2">
        <v>60295</v>
      </c>
      <c r="T19" s="29">
        <v>39.979999999999997</v>
      </c>
      <c r="U19" s="2">
        <v>9641</v>
      </c>
      <c r="V19" s="21">
        <v>198</v>
      </c>
      <c r="W19" s="21">
        <v>192</v>
      </c>
      <c r="X19" s="21">
        <v>6</v>
      </c>
      <c r="Y19" s="21">
        <v>15</v>
      </c>
      <c r="Z19" s="22">
        <f t="shared" si="0"/>
        <v>83.529411764705884</v>
      </c>
      <c r="AA19" s="22">
        <f t="shared" si="1"/>
        <v>96.969696969696969</v>
      </c>
      <c r="AB19" s="29">
        <v>97.3</v>
      </c>
      <c r="AC19" s="2">
        <v>3944</v>
      </c>
      <c r="AD19" s="2">
        <v>97</v>
      </c>
      <c r="AE19" s="2">
        <v>3</v>
      </c>
      <c r="AF19" s="2">
        <v>11</v>
      </c>
      <c r="AG19" s="2">
        <v>15913</v>
      </c>
      <c r="AH19" s="2">
        <v>15864</v>
      </c>
      <c r="AI19" s="5" t="s">
        <v>238</v>
      </c>
      <c r="AJ19" s="38">
        <v>49.9817430863163</v>
      </c>
      <c r="AK19" s="29">
        <v>58.097514356373402</v>
      </c>
      <c r="AL19" s="29">
        <v>4.5514332421152197</v>
      </c>
      <c r="AM19" s="29">
        <v>37.236706806627602</v>
      </c>
      <c r="AN19" s="2">
        <v>4</v>
      </c>
      <c r="AO19" s="2" t="s">
        <v>950</v>
      </c>
      <c r="AP19" s="26">
        <v>1.9746145838203572E-2</v>
      </c>
      <c r="AQ19" s="2" t="s">
        <v>239</v>
      </c>
      <c r="AR19" s="2" t="s">
        <v>240</v>
      </c>
      <c r="AS19" s="2" t="s">
        <v>241</v>
      </c>
      <c r="AT19" s="13" t="s">
        <v>647</v>
      </c>
      <c r="AU19" s="2" t="s">
        <v>664</v>
      </c>
      <c r="AV19" s="2">
        <v>93.2</v>
      </c>
    </row>
    <row r="20" spans="1:48" x14ac:dyDescent="0.2">
      <c r="A20" s="12" t="s">
        <v>797</v>
      </c>
      <c r="B20" s="2" t="s">
        <v>986</v>
      </c>
      <c r="C20" s="32">
        <v>40</v>
      </c>
      <c r="D20" s="45">
        <v>46</v>
      </c>
      <c r="E20" s="45" t="s">
        <v>22</v>
      </c>
      <c r="F20" s="41" t="s">
        <v>496</v>
      </c>
      <c r="G20" s="41" t="s">
        <v>85</v>
      </c>
      <c r="H20" s="2" t="s">
        <v>86</v>
      </c>
      <c r="I20" s="2">
        <v>1</v>
      </c>
      <c r="J20" s="2">
        <v>1</v>
      </c>
      <c r="K20" s="2">
        <v>0</v>
      </c>
      <c r="L20" s="2" t="s">
        <v>22</v>
      </c>
      <c r="M20" s="38">
        <v>8.24</v>
      </c>
      <c r="N20" s="38">
        <v>6.3</v>
      </c>
      <c r="O20" s="38">
        <v>5.38</v>
      </c>
      <c r="P20" s="2">
        <v>1905</v>
      </c>
      <c r="Q20" s="2">
        <v>682</v>
      </c>
      <c r="R20" s="2">
        <v>447</v>
      </c>
      <c r="S20" s="2">
        <v>56654</v>
      </c>
      <c r="T20" s="29">
        <v>54.72</v>
      </c>
      <c r="U20" s="2">
        <v>8738</v>
      </c>
      <c r="V20" s="21">
        <v>16</v>
      </c>
      <c r="W20" s="21">
        <v>16</v>
      </c>
      <c r="X20" s="21">
        <v>0</v>
      </c>
      <c r="Y20" s="21">
        <v>10</v>
      </c>
      <c r="Z20" s="22">
        <f t="shared" si="0"/>
        <v>10.196078431372548</v>
      </c>
      <c r="AA20" s="22">
        <f t="shared" si="1"/>
        <v>100</v>
      </c>
      <c r="AB20" s="29">
        <v>99.7</v>
      </c>
      <c r="AC20" s="2">
        <v>680</v>
      </c>
      <c r="AD20" s="2">
        <v>1</v>
      </c>
      <c r="AE20" s="2">
        <v>1</v>
      </c>
      <c r="AF20" s="2">
        <v>0</v>
      </c>
      <c r="AG20" s="6">
        <v>3348</v>
      </c>
      <c r="AH20" s="2">
        <v>3339</v>
      </c>
      <c r="AI20" s="12" t="s">
        <v>497</v>
      </c>
      <c r="AJ20" s="38">
        <v>80.769754901960795</v>
      </c>
      <c r="AK20" s="29">
        <v>61.337619704521998</v>
      </c>
      <c r="AL20" s="29">
        <v>7.6053754833243596</v>
      </c>
      <c r="AM20" s="29">
        <v>30.910886245882899</v>
      </c>
      <c r="AN20" s="2">
        <v>4</v>
      </c>
      <c r="AO20" s="2" t="s">
        <v>914</v>
      </c>
      <c r="AP20" s="26">
        <v>2.2047237991896954E-2</v>
      </c>
      <c r="AQ20" s="2" t="s">
        <v>594</v>
      </c>
      <c r="AR20" s="2" t="s">
        <v>498</v>
      </c>
      <c r="AS20" s="2" t="s">
        <v>499</v>
      </c>
      <c r="AU20" s="2" t="s">
        <v>690</v>
      </c>
      <c r="AV20" s="29">
        <v>97.9</v>
      </c>
    </row>
    <row r="21" spans="1:48" x14ac:dyDescent="0.2">
      <c r="A21" s="12" t="s">
        <v>807</v>
      </c>
      <c r="B21" s="2" t="s">
        <v>987</v>
      </c>
      <c r="C21" s="32">
        <v>104</v>
      </c>
      <c r="D21" s="45" t="s">
        <v>22</v>
      </c>
      <c r="E21" s="46">
        <v>71</v>
      </c>
      <c r="F21" s="41" t="s">
        <v>276</v>
      </c>
      <c r="G21" s="41" t="s">
        <v>120</v>
      </c>
      <c r="H21" s="2" t="s">
        <v>121</v>
      </c>
      <c r="I21" s="2">
        <v>1</v>
      </c>
      <c r="J21" s="2">
        <v>0</v>
      </c>
      <c r="K21" s="2">
        <v>1</v>
      </c>
      <c r="L21" s="2" t="s">
        <v>22</v>
      </c>
      <c r="M21" s="17">
        <v>44.06</v>
      </c>
      <c r="N21" s="17">
        <v>35.43</v>
      </c>
      <c r="O21" s="17">
        <v>30.3</v>
      </c>
      <c r="P21" s="6">
        <v>9015</v>
      </c>
      <c r="Q21" s="6">
        <v>3830</v>
      </c>
      <c r="R21" s="6">
        <v>2504</v>
      </c>
      <c r="S21" s="6">
        <v>66120</v>
      </c>
      <c r="T21" s="18">
        <v>64.14</v>
      </c>
      <c r="U21" s="6">
        <v>9289</v>
      </c>
      <c r="V21" s="21">
        <v>77</v>
      </c>
      <c r="W21" s="21">
        <v>76</v>
      </c>
      <c r="X21" s="21">
        <v>1</v>
      </c>
      <c r="Y21" s="21">
        <v>16</v>
      </c>
      <c r="Z21" s="22">
        <f t="shared" si="0"/>
        <v>36.470588235294116</v>
      </c>
      <c r="AA21" s="22">
        <f t="shared" si="1"/>
        <v>98.701298701298697</v>
      </c>
      <c r="AB21" s="18">
        <v>99.4</v>
      </c>
      <c r="AC21" s="6">
        <v>3806</v>
      </c>
      <c r="AD21" s="6">
        <v>19</v>
      </c>
      <c r="AE21" s="6">
        <v>0</v>
      </c>
      <c r="AF21" s="6">
        <v>5</v>
      </c>
      <c r="AG21" s="7">
        <v>18570</v>
      </c>
      <c r="AH21" s="6">
        <v>18512</v>
      </c>
      <c r="AI21" s="5" t="s">
        <v>277</v>
      </c>
      <c r="AJ21" s="38">
        <v>120.810024677817</v>
      </c>
      <c r="AK21" s="29">
        <v>54.209526971487797</v>
      </c>
      <c r="AL21" s="29">
        <v>15.1306204330988</v>
      </c>
      <c r="AM21" s="29">
        <v>30.508491079409701</v>
      </c>
      <c r="AN21" s="2">
        <v>5</v>
      </c>
      <c r="AO21" s="2" t="s">
        <v>957</v>
      </c>
      <c r="AP21" s="26">
        <v>0</v>
      </c>
      <c r="AQ21" s="2" t="s">
        <v>596</v>
      </c>
      <c r="AR21" s="9" t="s">
        <v>278</v>
      </c>
      <c r="AS21" s="10" t="s">
        <v>279</v>
      </c>
      <c r="AU21" s="2" t="s">
        <v>724</v>
      </c>
      <c r="AV21" s="29">
        <v>98</v>
      </c>
    </row>
    <row r="22" spans="1:48" x14ac:dyDescent="0.2">
      <c r="A22" s="12" t="s">
        <v>835</v>
      </c>
      <c r="B22" s="2" t="s">
        <v>987</v>
      </c>
      <c r="C22" s="32">
        <v>75</v>
      </c>
      <c r="D22" s="45" t="s">
        <v>22</v>
      </c>
      <c r="E22" s="46">
        <v>40</v>
      </c>
      <c r="F22" s="41" t="s">
        <v>535</v>
      </c>
      <c r="G22" s="41" t="s">
        <v>164</v>
      </c>
      <c r="H22" s="2" t="s">
        <v>38</v>
      </c>
      <c r="I22" s="2">
        <v>3</v>
      </c>
      <c r="J22" s="2">
        <v>0</v>
      </c>
      <c r="K22" s="16">
        <v>3</v>
      </c>
      <c r="L22" s="16">
        <v>3</v>
      </c>
      <c r="M22" s="38">
        <v>13.74</v>
      </c>
      <c r="N22" s="38">
        <v>9.43</v>
      </c>
      <c r="O22" s="38">
        <v>7.87</v>
      </c>
      <c r="P22" s="2">
        <v>3731</v>
      </c>
      <c r="Q22" s="2">
        <v>1059</v>
      </c>
      <c r="R22" s="2">
        <v>653</v>
      </c>
      <c r="S22" s="2">
        <v>67284</v>
      </c>
      <c r="T22" s="29">
        <v>67.64</v>
      </c>
      <c r="U22" s="2">
        <v>6632</v>
      </c>
      <c r="V22" s="21">
        <v>76</v>
      </c>
      <c r="W22" s="21">
        <v>75</v>
      </c>
      <c r="X22" s="21">
        <v>1</v>
      </c>
      <c r="Y22" s="21">
        <v>24</v>
      </c>
      <c r="Z22" s="22">
        <f t="shared" si="0"/>
        <v>39.215686274509807</v>
      </c>
      <c r="AA22" s="22">
        <f t="shared" si="1"/>
        <v>98.684210526315795</v>
      </c>
      <c r="AB22" s="29">
        <v>85.5</v>
      </c>
      <c r="AC22" s="2">
        <v>905</v>
      </c>
      <c r="AD22" s="2">
        <v>147</v>
      </c>
      <c r="AE22" s="2">
        <v>1</v>
      </c>
      <c r="AF22" s="2">
        <v>6</v>
      </c>
      <c r="AG22" s="2">
        <v>8515</v>
      </c>
      <c r="AH22" s="2">
        <v>8501</v>
      </c>
      <c r="AI22" s="5" t="s">
        <v>165</v>
      </c>
      <c r="AJ22" s="38">
        <v>35.044905660377403</v>
      </c>
      <c r="AK22" s="29">
        <v>77.271661069806797</v>
      </c>
      <c r="AL22" s="29">
        <v>5.6057457278532103</v>
      </c>
      <c r="AM22" s="29">
        <v>16.885962295625401</v>
      </c>
      <c r="AN22" s="2">
        <v>1</v>
      </c>
      <c r="AO22" s="2" t="s">
        <v>937</v>
      </c>
      <c r="AP22" s="26">
        <v>0.38697830752175033</v>
      </c>
      <c r="AQ22" s="2" t="s">
        <v>166</v>
      </c>
      <c r="AR22" s="2" t="s">
        <v>167</v>
      </c>
      <c r="AS22" s="2" t="s">
        <v>168</v>
      </c>
      <c r="AU22" s="2" t="s">
        <v>709</v>
      </c>
      <c r="AV22" s="2">
        <v>91</v>
      </c>
    </row>
    <row r="23" spans="1:48" x14ac:dyDescent="0.2">
      <c r="A23" s="12" t="s">
        <v>770</v>
      </c>
      <c r="B23" s="2" t="s">
        <v>986</v>
      </c>
      <c r="C23" s="32">
        <v>36</v>
      </c>
      <c r="D23" s="45">
        <v>41</v>
      </c>
      <c r="E23" s="45" t="s">
        <v>22</v>
      </c>
      <c r="F23" s="41" t="s">
        <v>417</v>
      </c>
      <c r="G23" s="41" t="s">
        <v>85</v>
      </c>
      <c r="H23" s="2" t="s">
        <v>86</v>
      </c>
      <c r="I23" s="2">
        <v>4</v>
      </c>
      <c r="J23" s="2">
        <v>4</v>
      </c>
      <c r="K23" s="2">
        <v>0</v>
      </c>
      <c r="L23" s="2">
        <v>4</v>
      </c>
      <c r="M23" s="38">
        <v>45.18</v>
      </c>
      <c r="N23" s="38">
        <v>32.93</v>
      </c>
      <c r="O23" s="38">
        <v>26.09</v>
      </c>
      <c r="P23" s="2">
        <v>11788</v>
      </c>
      <c r="Q23" s="2">
        <v>4170</v>
      </c>
      <c r="R23" s="2">
        <v>2401</v>
      </c>
      <c r="S23" s="2">
        <v>98708</v>
      </c>
      <c r="T23" s="29">
        <v>58.96</v>
      </c>
      <c r="U23" s="2">
        <v>6462</v>
      </c>
      <c r="V23" s="21">
        <v>97</v>
      </c>
      <c r="W23" s="21">
        <v>91</v>
      </c>
      <c r="X23" s="21">
        <v>6</v>
      </c>
      <c r="Y23" s="21">
        <v>21</v>
      </c>
      <c r="Z23" s="22">
        <f t="shared" si="0"/>
        <v>46.274509803921568</v>
      </c>
      <c r="AA23" s="22">
        <f t="shared" si="1"/>
        <v>93.814432989690715</v>
      </c>
      <c r="AB23" s="29">
        <v>99.7</v>
      </c>
      <c r="AC23" s="2">
        <v>4159</v>
      </c>
      <c r="AD23" s="2">
        <v>9</v>
      </c>
      <c r="AE23" s="2">
        <v>2</v>
      </c>
      <c r="AF23" s="2">
        <v>0</v>
      </c>
      <c r="AG23" s="6">
        <v>18764</v>
      </c>
      <c r="AH23" s="2">
        <v>18702</v>
      </c>
      <c r="AI23" s="12" t="s">
        <v>418</v>
      </c>
      <c r="AJ23" s="38">
        <v>97.649444564512606</v>
      </c>
      <c r="AK23" s="29">
        <v>63.841135656412</v>
      </c>
      <c r="AL23" s="29">
        <v>11.262742185574099</v>
      </c>
      <c r="AM23" s="29">
        <v>24.747254450726601</v>
      </c>
      <c r="AN23" s="2">
        <v>3</v>
      </c>
      <c r="AO23" s="2" t="s">
        <v>910</v>
      </c>
      <c r="AP23" s="26">
        <v>0.19820972367009645</v>
      </c>
      <c r="AQ23" s="2" t="s">
        <v>88</v>
      </c>
      <c r="AR23" s="2" t="s">
        <v>89</v>
      </c>
      <c r="AS23" s="2" t="s">
        <v>90</v>
      </c>
      <c r="AT23" s="23" t="s">
        <v>642</v>
      </c>
      <c r="AU23" s="2" t="s">
        <v>690</v>
      </c>
      <c r="AV23" s="29">
        <v>96.9</v>
      </c>
    </row>
    <row r="24" spans="1:48" x14ac:dyDescent="0.2">
      <c r="A24" s="12" t="s">
        <v>771</v>
      </c>
      <c r="B24" s="2" t="s">
        <v>990</v>
      </c>
      <c r="C24" s="32">
        <v>55</v>
      </c>
      <c r="D24" s="45" t="s">
        <v>22</v>
      </c>
      <c r="E24" s="46">
        <v>18</v>
      </c>
      <c r="F24" s="41" t="s">
        <v>604</v>
      </c>
      <c r="G24" s="41" t="s">
        <v>85</v>
      </c>
      <c r="H24" s="2" t="s">
        <v>86</v>
      </c>
      <c r="I24" s="2">
        <v>1</v>
      </c>
      <c r="J24" s="2">
        <v>0</v>
      </c>
      <c r="K24" s="2">
        <v>1</v>
      </c>
      <c r="L24" s="2" t="s">
        <v>22</v>
      </c>
      <c r="M24" s="17">
        <v>12.39</v>
      </c>
      <c r="N24" s="17">
        <v>11.28</v>
      </c>
      <c r="O24" s="17">
        <v>10.48</v>
      </c>
      <c r="P24" s="6">
        <v>1577</v>
      </c>
      <c r="Q24" s="6">
        <v>911</v>
      </c>
      <c r="R24" s="6">
        <v>706</v>
      </c>
      <c r="S24" s="6">
        <v>73820</v>
      </c>
      <c r="T24" s="18">
        <v>52.2</v>
      </c>
      <c r="U24" s="6">
        <v>15361</v>
      </c>
      <c r="V24" s="21">
        <v>41</v>
      </c>
      <c r="W24" s="21">
        <v>41</v>
      </c>
      <c r="X24" s="21">
        <v>0</v>
      </c>
      <c r="Y24" s="21">
        <v>12</v>
      </c>
      <c r="Z24" s="22">
        <f t="shared" si="0"/>
        <v>20.784313725490197</v>
      </c>
      <c r="AA24" s="22">
        <f t="shared" si="1"/>
        <v>100</v>
      </c>
      <c r="AB24" s="18">
        <v>99.2</v>
      </c>
      <c r="AC24" s="6">
        <v>904</v>
      </c>
      <c r="AD24" s="6">
        <v>5</v>
      </c>
      <c r="AE24" s="6">
        <v>2</v>
      </c>
      <c r="AF24" s="6">
        <v>0</v>
      </c>
      <c r="AG24" s="7">
        <v>5835</v>
      </c>
      <c r="AH24" s="6">
        <v>5818</v>
      </c>
      <c r="AI24" s="5" t="s">
        <v>87</v>
      </c>
      <c r="AJ24" s="38">
        <v>59.615476419634298</v>
      </c>
      <c r="AK24" s="29">
        <v>76.130601506478499</v>
      </c>
      <c r="AL24" s="29">
        <v>4.9565243924490101</v>
      </c>
      <c r="AM24" s="29">
        <v>18.763521044719099</v>
      </c>
      <c r="AN24" s="2">
        <v>1</v>
      </c>
      <c r="AO24" s="2" t="s">
        <v>910</v>
      </c>
      <c r="AP24" s="26">
        <v>0.19820972367009645</v>
      </c>
      <c r="AQ24" s="2" t="s">
        <v>88</v>
      </c>
      <c r="AR24" s="2" t="s">
        <v>89</v>
      </c>
      <c r="AS24" s="2" t="s">
        <v>90</v>
      </c>
      <c r="AU24" s="2" t="s">
        <v>690</v>
      </c>
      <c r="AV24" s="29">
        <v>97.1</v>
      </c>
    </row>
    <row r="25" spans="1:48" x14ac:dyDescent="0.2">
      <c r="A25" s="12" t="s">
        <v>810</v>
      </c>
      <c r="B25" s="2" t="s">
        <v>987</v>
      </c>
      <c r="C25" s="32">
        <v>140</v>
      </c>
      <c r="D25" s="45" t="s">
        <v>22</v>
      </c>
      <c r="E25" s="46">
        <v>109</v>
      </c>
      <c r="F25" s="41" t="s">
        <v>380</v>
      </c>
      <c r="G25" s="41" t="s">
        <v>169</v>
      </c>
      <c r="H25" s="2" t="s">
        <v>86</v>
      </c>
      <c r="I25" s="2">
        <v>2</v>
      </c>
      <c r="J25" s="2">
        <v>0</v>
      </c>
      <c r="K25" s="16">
        <v>2</v>
      </c>
      <c r="L25" s="16">
        <v>2</v>
      </c>
      <c r="M25" s="38">
        <v>13.88</v>
      </c>
      <c r="N25" s="38">
        <v>1.1399999999999999</v>
      </c>
      <c r="O25" s="38">
        <v>0.13</v>
      </c>
      <c r="P25" s="2">
        <v>9049</v>
      </c>
      <c r="Q25" s="2">
        <v>300</v>
      </c>
      <c r="R25" s="2">
        <v>21</v>
      </c>
      <c r="S25" s="2">
        <v>10784</v>
      </c>
      <c r="T25" s="29">
        <v>61.33</v>
      </c>
      <c r="U25" s="2">
        <v>1509</v>
      </c>
      <c r="V25" s="21">
        <v>18</v>
      </c>
      <c r="W25" s="21">
        <v>17</v>
      </c>
      <c r="X25" s="21">
        <v>1</v>
      </c>
      <c r="Y25" s="21">
        <v>32</v>
      </c>
      <c r="Z25" s="22">
        <f t="shared" si="0"/>
        <v>19.607843137254903</v>
      </c>
      <c r="AA25" s="22">
        <f t="shared" si="1"/>
        <v>94.444444444444443</v>
      </c>
      <c r="AB25" s="29">
        <v>94.7</v>
      </c>
      <c r="AC25" s="2">
        <v>284</v>
      </c>
      <c r="AD25" s="2">
        <v>0</v>
      </c>
      <c r="AE25" s="2">
        <v>5</v>
      </c>
      <c r="AF25" s="2">
        <v>11</v>
      </c>
      <c r="AG25" s="2">
        <v>7656</v>
      </c>
      <c r="AH25" s="2">
        <v>7628</v>
      </c>
      <c r="AI25" s="5" t="s">
        <v>381</v>
      </c>
      <c r="AJ25" s="38">
        <v>70.773559408465104</v>
      </c>
      <c r="AK25" s="29">
        <v>39.810255935446399</v>
      </c>
      <c r="AL25" s="29">
        <v>11.517631881095401</v>
      </c>
      <c r="AM25" s="29">
        <v>48.341288572160401</v>
      </c>
      <c r="AN25" s="2">
        <v>4</v>
      </c>
      <c r="AO25" s="2" t="s">
        <v>976</v>
      </c>
      <c r="AP25" s="26">
        <v>0.45121381514462144</v>
      </c>
      <c r="AQ25" s="2" t="s">
        <v>382</v>
      </c>
      <c r="AR25" s="2" t="s">
        <v>383</v>
      </c>
      <c r="AS25" s="2" t="s">
        <v>384</v>
      </c>
      <c r="AU25" s="2" t="s">
        <v>736</v>
      </c>
      <c r="AV25" s="29">
        <v>99.3</v>
      </c>
    </row>
    <row r="26" spans="1:48" x14ac:dyDescent="0.2">
      <c r="A26" s="12" t="s">
        <v>793</v>
      </c>
      <c r="B26" s="2" t="s">
        <v>987</v>
      </c>
      <c r="C26" s="32">
        <v>65</v>
      </c>
      <c r="D26" s="45" t="s">
        <v>22</v>
      </c>
      <c r="E26" s="46">
        <v>30</v>
      </c>
      <c r="F26" s="41" t="s">
        <v>606</v>
      </c>
      <c r="G26" s="41" t="s">
        <v>120</v>
      </c>
      <c r="H26" s="2" t="s">
        <v>121</v>
      </c>
      <c r="I26" s="2">
        <v>9</v>
      </c>
      <c r="J26" s="2">
        <v>0</v>
      </c>
      <c r="K26" s="16">
        <v>9</v>
      </c>
      <c r="L26" s="16">
        <v>9</v>
      </c>
      <c r="M26" s="38">
        <v>59.32</v>
      </c>
      <c r="N26" s="38">
        <v>41.33</v>
      </c>
      <c r="O26" s="38">
        <v>30.21</v>
      </c>
      <c r="P26" s="2">
        <v>16757</v>
      </c>
      <c r="Q26" s="2">
        <v>6160</v>
      </c>
      <c r="R26" s="2">
        <v>3284</v>
      </c>
      <c r="S26" s="2">
        <v>42880</v>
      </c>
      <c r="T26" s="29">
        <v>67.040000000000006</v>
      </c>
      <c r="U26" s="2">
        <v>5123</v>
      </c>
      <c r="V26" s="21">
        <v>130</v>
      </c>
      <c r="W26" s="21">
        <v>123</v>
      </c>
      <c r="X26" s="21">
        <v>7</v>
      </c>
      <c r="Y26" s="21">
        <v>19</v>
      </c>
      <c r="Z26" s="22">
        <f t="shared" si="0"/>
        <v>58.431372549019606</v>
      </c>
      <c r="AA26" s="22">
        <f t="shared" si="1"/>
        <v>94.615384615384613</v>
      </c>
      <c r="AB26" s="29">
        <v>97.8</v>
      </c>
      <c r="AC26" s="2">
        <v>6024</v>
      </c>
      <c r="AD26" s="2">
        <v>127</v>
      </c>
      <c r="AE26" s="2">
        <v>2</v>
      </c>
      <c r="AF26" s="2">
        <v>7</v>
      </c>
      <c r="AG26" s="2">
        <v>29292</v>
      </c>
      <c r="AH26" s="2">
        <v>29181</v>
      </c>
      <c r="AI26" s="5" t="s">
        <v>122</v>
      </c>
      <c r="AJ26" s="38">
        <v>101.519604655143</v>
      </c>
      <c r="AK26" s="29">
        <v>61.366147371522999</v>
      </c>
      <c r="AL26" s="29">
        <v>11.3276724793298</v>
      </c>
      <c r="AM26" s="29">
        <v>27.141208038281199</v>
      </c>
      <c r="AN26" s="2">
        <v>3</v>
      </c>
      <c r="AO26" s="2" t="s">
        <v>928</v>
      </c>
      <c r="AP26" s="26">
        <v>0.26044719686798423</v>
      </c>
      <c r="AQ26" s="2" t="s">
        <v>123</v>
      </c>
      <c r="AR26" s="9" t="s">
        <v>124</v>
      </c>
      <c r="AS26" s="2" t="s">
        <v>125</v>
      </c>
      <c r="AT26" s="23" t="s">
        <v>644</v>
      </c>
      <c r="AU26" s="2" t="s">
        <v>700</v>
      </c>
      <c r="AV26" s="29">
        <v>99.6</v>
      </c>
    </row>
    <row r="27" spans="1:48" x14ac:dyDescent="0.2">
      <c r="A27" s="12" t="s">
        <v>801</v>
      </c>
      <c r="B27" s="2" t="s">
        <v>986</v>
      </c>
      <c r="C27" s="32">
        <v>146</v>
      </c>
      <c r="D27" s="45" t="s">
        <v>22</v>
      </c>
      <c r="E27" s="46">
        <v>115</v>
      </c>
      <c r="F27" s="41" t="s">
        <v>662</v>
      </c>
      <c r="G27" s="41" t="s">
        <v>398</v>
      </c>
      <c r="H27" s="2" t="s">
        <v>315</v>
      </c>
      <c r="I27" s="2">
        <v>1</v>
      </c>
      <c r="J27" s="2">
        <v>0</v>
      </c>
      <c r="K27" s="2">
        <v>1</v>
      </c>
      <c r="L27" s="2" t="s">
        <v>22</v>
      </c>
      <c r="M27" s="17">
        <v>6.48</v>
      </c>
      <c r="N27" s="17">
        <v>0.18</v>
      </c>
      <c r="O27" s="17">
        <v>0.01</v>
      </c>
      <c r="P27" s="6">
        <v>4687</v>
      </c>
      <c r="Q27" s="6">
        <v>51</v>
      </c>
      <c r="R27" s="6">
        <v>1</v>
      </c>
      <c r="S27" s="6">
        <v>5035</v>
      </c>
      <c r="T27" s="18">
        <v>43.29</v>
      </c>
      <c r="U27" s="6">
        <v>1337</v>
      </c>
      <c r="V27" s="21">
        <v>1</v>
      </c>
      <c r="W27" s="21">
        <v>1</v>
      </c>
      <c r="X27" s="21">
        <v>0</v>
      </c>
      <c r="Y27" s="21">
        <v>9</v>
      </c>
      <c r="Z27" s="22">
        <f t="shared" si="0"/>
        <v>3.9215686274509802</v>
      </c>
      <c r="AA27" s="22">
        <f t="shared" si="1"/>
        <v>100</v>
      </c>
      <c r="AB27" s="18">
        <v>98</v>
      </c>
      <c r="AC27" s="6">
        <v>50</v>
      </c>
      <c r="AD27" s="6">
        <v>1</v>
      </c>
      <c r="AE27" s="6">
        <v>0</v>
      </c>
      <c r="AF27" s="6">
        <v>0</v>
      </c>
      <c r="AG27" s="6">
        <v>3132</v>
      </c>
      <c r="AH27" s="6">
        <v>3100</v>
      </c>
      <c r="AI27" s="5" t="s">
        <v>399</v>
      </c>
      <c r="AJ27" s="38">
        <v>165.204260204082</v>
      </c>
      <c r="AK27" s="29">
        <v>28.180173369176401</v>
      </c>
      <c r="AL27" s="29">
        <v>11.3244936270143</v>
      </c>
      <c r="AM27" s="29">
        <v>60.118897339054797</v>
      </c>
      <c r="AN27" s="2" t="s">
        <v>22</v>
      </c>
      <c r="AO27" s="2" t="s">
        <v>979</v>
      </c>
      <c r="AP27" s="26">
        <v>3.9402725537142275E-2</v>
      </c>
      <c r="AQ27" s="2" t="s">
        <v>400</v>
      </c>
      <c r="AR27" s="2" t="s">
        <v>401</v>
      </c>
      <c r="AS27" s="2" t="s">
        <v>402</v>
      </c>
      <c r="AU27" s="2" t="s">
        <v>739</v>
      </c>
      <c r="AV27" s="29">
        <v>97.2</v>
      </c>
    </row>
    <row r="28" spans="1:48" x14ac:dyDescent="0.2">
      <c r="A28" s="12" t="s">
        <v>781</v>
      </c>
      <c r="B28" s="2" t="s">
        <v>987</v>
      </c>
      <c r="C28" s="32">
        <v>84</v>
      </c>
      <c r="D28" s="45" t="s">
        <v>22</v>
      </c>
      <c r="E28" s="46">
        <v>50</v>
      </c>
      <c r="F28" s="41" t="s">
        <v>206</v>
      </c>
      <c r="G28" s="41" t="s">
        <v>120</v>
      </c>
      <c r="H28" s="2" t="s">
        <v>121</v>
      </c>
      <c r="I28" s="2">
        <v>1</v>
      </c>
      <c r="J28" s="2">
        <v>0</v>
      </c>
      <c r="K28" s="2">
        <v>1</v>
      </c>
      <c r="L28" s="2" t="s">
        <v>22</v>
      </c>
      <c r="M28" s="17">
        <v>38.25</v>
      </c>
      <c r="N28" s="17">
        <v>28.07</v>
      </c>
      <c r="O28" s="17">
        <v>21.99</v>
      </c>
      <c r="P28" s="6">
        <v>9729</v>
      </c>
      <c r="Q28" s="6">
        <v>3670</v>
      </c>
      <c r="R28" s="6">
        <v>2099</v>
      </c>
      <c r="S28" s="6">
        <v>64842</v>
      </c>
      <c r="T28" s="18">
        <v>58.03</v>
      </c>
      <c r="U28" s="6">
        <v>6198</v>
      </c>
      <c r="V28" s="21">
        <v>43</v>
      </c>
      <c r="W28" s="21">
        <v>42</v>
      </c>
      <c r="X28" s="21">
        <v>1</v>
      </c>
      <c r="Y28" s="21">
        <v>27</v>
      </c>
      <c r="Z28" s="22">
        <f t="shared" si="0"/>
        <v>27.450980392156861</v>
      </c>
      <c r="AA28" s="22">
        <f t="shared" si="1"/>
        <v>97.674418604651166</v>
      </c>
      <c r="AB28" s="18">
        <v>99.8</v>
      </c>
      <c r="AC28" s="6">
        <v>3662</v>
      </c>
      <c r="AD28" s="6">
        <v>3</v>
      </c>
      <c r="AE28" s="6">
        <v>2</v>
      </c>
      <c r="AF28" s="6">
        <v>3</v>
      </c>
      <c r="AG28" s="7">
        <v>14688</v>
      </c>
      <c r="AH28" s="6">
        <v>14632</v>
      </c>
      <c r="AI28" s="5" t="s">
        <v>207</v>
      </c>
      <c r="AJ28" s="38">
        <v>139.338236794171</v>
      </c>
      <c r="AK28" s="29">
        <v>48.3810567913185</v>
      </c>
      <c r="AL28" s="29">
        <v>16.620119991593899</v>
      </c>
      <c r="AM28" s="29">
        <v>34.867954813000303</v>
      </c>
      <c r="AN28" s="2">
        <v>5</v>
      </c>
      <c r="AO28" s="2" t="s">
        <v>943</v>
      </c>
      <c r="AP28" s="26">
        <v>3.3405635461578619E-2</v>
      </c>
      <c r="AQ28" s="2" t="s">
        <v>208</v>
      </c>
      <c r="AR28" s="2" t="s">
        <v>209</v>
      </c>
      <c r="AS28" s="2" t="s">
        <v>210</v>
      </c>
      <c r="AU28" s="2" t="s">
        <v>711</v>
      </c>
      <c r="AV28" s="2">
        <v>95.5</v>
      </c>
    </row>
    <row r="29" spans="1:48" x14ac:dyDescent="0.2">
      <c r="A29" s="12" t="s">
        <v>772</v>
      </c>
      <c r="B29" s="2" t="s">
        <v>990</v>
      </c>
      <c r="C29" s="32">
        <v>20</v>
      </c>
      <c r="D29" s="45">
        <v>23</v>
      </c>
      <c r="E29" s="45" t="s">
        <v>22</v>
      </c>
      <c r="F29" s="41" t="s">
        <v>511</v>
      </c>
      <c r="G29" s="41" t="s">
        <v>455</v>
      </c>
      <c r="H29" s="2" t="s">
        <v>315</v>
      </c>
      <c r="I29" s="2">
        <v>1</v>
      </c>
      <c r="J29" s="2">
        <v>1</v>
      </c>
      <c r="K29" s="2">
        <v>0</v>
      </c>
      <c r="L29" s="2" t="s">
        <v>22</v>
      </c>
      <c r="M29" s="38">
        <v>13.77</v>
      </c>
      <c r="N29" s="38">
        <v>11.79</v>
      </c>
      <c r="O29" s="38">
        <v>10.89</v>
      </c>
      <c r="P29" s="2">
        <v>2051</v>
      </c>
      <c r="Q29" s="2">
        <v>813</v>
      </c>
      <c r="R29" s="2">
        <v>581</v>
      </c>
      <c r="S29" s="2">
        <v>102521</v>
      </c>
      <c r="T29" s="29">
        <v>50.59</v>
      </c>
      <c r="U29" s="2">
        <v>19311</v>
      </c>
      <c r="V29" s="21">
        <v>51</v>
      </c>
      <c r="W29" s="21">
        <v>49</v>
      </c>
      <c r="X29" s="21">
        <v>2</v>
      </c>
      <c r="Y29" s="21">
        <v>11</v>
      </c>
      <c r="Z29" s="22">
        <f t="shared" si="0"/>
        <v>24.313725490196077</v>
      </c>
      <c r="AA29" s="22">
        <f t="shared" si="1"/>
        <v>96.078431372549019</v>
      </c>
      <c r="AB29" s="29">
        <v>97</v>
      </c>
      <c r="AC29" s="2">
        <v>789</v>
      </c>
      <c r="AD29" s="2">
        <v>24</v>
      </c>
      <c r="AE29" s="2">
        <v>0</v>
      </c>
      <c r="AF29" s="2">
        <v>0</v>
      </c>
      <c r="AG29" s="6">
        <v>5967</v>
      </c>
      <c r="AH29" s="2">
        <v>5958</v>
      </c>
      <c r="AI29" s="12" t="s">
        <v>456</v>
      </c>
      <c r="AJ29" s="38">
        <v>56.6590826820239</v>
      </c>
      <c r="AK29" s="29">
        <v>77.508778790028003</v>
      </c>
      <c r="AL29" s="29">
        <v>4.0987603804695301</v>
      </c>
      <c r="AM29" s="29">
        <v>18.247998395216801</v>
      </c>
      <c r="AN29" s="2">
        <v>1</v>
      </c>
      <c r="AO29" s="2" t="s">
        <v>898</v>
      </c>
      <c r="AP29" s="26">
        <v>1.6780974535820059E-2</v>
      </c>
      <c r="AQ29" s="2" t="s">
        <v>581</v>
      </c>
      <c r="AR29" s="2" t="s">
        <v>457</v>
      </c>
      <c r="AS29" s="2" t="s">
        <v>458</v>
      </c>
      <c r="AU29" s="2" t="s">
        <v>680</v>
      </c>
      <c r="AV29" s="29">
        <v>88.4</v>
      </c>
    </row>
    <row r="30" spans="1:48" x14ac:dyDescent="0.2">
      <c r="A30" s="12" t="s">
        <v>773</v>
      </c>
      <c r="B30" s="2" t="s">
        <v>990</v>
      </c>
      <c r="C30" s="32">
        <v>32</v>
      </c>
      <c r="D30" s="45">
        <v>37</v>
      </c>
      <c r="E30" s="45" t="s">
        <v>22</v>
      </c>
      <c r="F30" s="41" t="s">
        <v>512</v>
      </c>
      <c r="G30" s="41" t="s">
        <v>455</v>
      </c>
      <c r="H30" s="2" t="s">
        <v>315</v>
      </c>
      <c r="I30" s="2">
        <v>1</v>
      </c>
      <c r="J30" s="2">
        <v>1</v>
      </c>
      <c r="K30" s="2">
        <v>0</v>
      </c>
      <c r="L30" s="2" t="s">
        <v>22</v>
      </c>
      <c r="M30" s="38">
        <v>15.25</v>
      </c>
      <c r="N30" s="38">
        <v>12.48</v>
      </c>
      <c r="O30" s="38">
        <v>11.43</v>
      </c>
      <c r="P30" s="2">
        <v>2584</v>
      </c>
      <c r="Q30" s="2">
        <v>854</v>
      </c>
      <c r="R30" s="2">
        <v>581</v>
      </c>
      <c r="S30" s="2">
        <v>132494</v>
      </c>
      <c r="T30" s="29">
        <v>49.04</v>
      </c>
      <c r="U30" s="2">
        <v>19812</v>
      </c>
      <c r="V30" s="21">
        <v>27</v>
      </c>
      <c r="W30" s="21">
        <v>26</v>
      </c>
      <c r="X30" s="21">
        <v>1</v>
      </c>
      <c r="Y30" s="21">
        <v>11</v>
      </c>
      <c r="Z30" s="22">
        <f t="shared" si="0"/>
        <v>14.901960784313726</v>
      </c>
      <c r="AA30" s="22">
        <f t="shared" si="1"/>
        <v>96.296296296296291</v>
      </c>
      <c r="AB30" s="29">
        <v>96.8</v>
      </c>
      <c r="AC30" s="2">
        <v>827</v>
      </c>
      <c r="AD30" s="2">
        <v>27</v>
      </c>
      <c r="AE30" s="2">
        <v>0</v>
      </c>
      <c r="AF30" s="2">
        <v>0</v>
      </c>
      <c r="AG30" s="6">
        <v>5945</v>
      </c>
      <c r="AH30" s="2">
        <v>5942</v>
      </c>
      <c r="AI30" s="12" t="s">
        <v>478</v>
      </c>
      <c r="AJ30" s="38">
        <v>102.35751006711401</v>
      </c>
      <c r="AK30" s="29">
        <v>74.220433722597093</v>
      </c>
      <c r="AL30" s="29">
        <v>5.7326114961319004</v>
      </c>
      <c r="AM30" s="29">
        <v>19.9103825393153</v>
      </c>
      <c r="AN30" s="2">
        <v>2</v>
      </c>
      <c r="AO30" s="2" t="s">
        <v>898</v>
      </c>
      <c r="AP30" s="26">
        <v>1.6780974535820059E-2</v>
      </c>
      <c r="AQ30" s="2" t="s">
        <v>581</v>
      </c>
      <c r="AR30" s="2" t="s">
        <v>457</v>
      </c>
      <c r="AS30" s="2" t="s">
        <v>458</v>
      </c>
      <c r="AU30" s="2" t="s">
        <v>687</v>
      </c>
      <c r="AV30" s="29">
        <v>90.4</v>
      </c>
    </row>
    <row r="31" spans="1:48" x14ac:dyDescent="0.2">
      <c r="A31" s="12" t="s">
        <v>791</v>
      </c>
      <c r="B31" s="2" t="s">
        <v>987</v>
      </c>
      <c r="C31" s="32">
        <v>70</v>
      </c>
      <c r="D31" s="45" t="s">
        <v>22</v>
      </c>
      <c r="E31" s="46">
        <v>35</v>
      </c>
      <c r="F31" s="41" t="s">
        <v>142</v>
      </c>
      <c r="G31" s="41" t="s">
        <v>59</v>
      </c>
      <c r="H31" s="2" t="s">
        <v>38</v>
      </c>
      <c r="I31" s="2">
        <v>1</v>
      </c>
      <c r="J31" s="2">
        <v>0</v>
      </c>
      <c r="K31" s="2">
        <v>1</v>
      </c>
      <c r="L31" s="2" t="s">
        <v>22</v>
      </c>
      <c r="M31" s="17">
        <v>27.46</v>
      </c>
      <c r="N31" s="17">
        <v>24.01</v>
      </c>
      <c r="O31" s="17">
        <v>21.23</v>
      </c>
      <c r="P31" s="6">
        <v>4367</v>
      </c>
      <c r="Q31" s="6">
        <v>2316</v>
      </c>
      <c r="R31" s="6">
        <v>1606</v>
      </c>
      <c r="S31" s="6">
        <v>80601</v>
      </c>
      <c r="T31" s="18">
        <v>42.58</v>
      </c>
      <c r="U31" s="6">
        <v>11958</v>
      </c>
      <c r="V31" s="21">
        <v>133</v>
      </c>
      <c r="W31" s="21">
        <v>131</v>
      </c>
      <c r="X31" s="21">
        <v>2</v>
      </c>
      <c r="Y31" s="21">
        <v>21</v>
      </c>
      <c r="Z31" s="22">
        <f t="shared" si="0"/>
        <v>60.392156862745097</v>
      </c>
      <c r="AA31" s="22">
        <f t="shared" si="1"/>
        <v>98.496240601503757</v>
      </c>
      <c r="AB31" s="18">
        <v>99.6</v>
      </c>
      <c r="AC31" s="6">
        <v>2307</v>
      </c>
      <c r="AD31" s="6">
        <v>7</v>
      </c>
      <c r="AE31" s="6">
        <v>0</v>
      </c>
      <c r="AF31" s="6">
        <v>2</v>
      </c>
      <c r="AG31" s="7">
        <v>10228</v>
      </c>
      <c r="AH31" s="6">
        <v>10199</v>
      </c>
      <c r="AI31" s="5" t="s">
        <v>143</v>
      </c>
      <c r="AJ31" s="38">
        <v>45.4632389468455</v>
      </c>
      <c r="AK31" s="29">
        <v>61.680898917329102</v>
      </c>
      <c r="AL31" s="29">
        <v>10.250647872447001</v>
      </c>
      <c r="AM31" s="29">
        <v>27.9457881461651</v>
      </c>
      <c r="AN31" s="2">
        <v>2</v>
      </c>
      <c r="AO31" s="2" t="s">
        <v>933</v>
      </c>
      <c r="AP31" s="26">
        <v>2.8375890374608446E-2</v>
      </c>
      <c r="AQ31" s="2" t="s">
        <v>144</v>
      </c>
      <c r="AR31" s="2" t="s">
        <v>145</v>
      </c>
      <c r="AS31" s="2" t="s">
        <v>146</v>
      </c>
      <c r="AT31" s="13" t="s">
        <v>599</v>
      </c>
      <c r="AU31" s="2" t="s">
        <v>705</v>
      </c>
      <c r="AV31" s="29">
        <v>97</v>
      </c>
    </row>
    <row r="32" spans="1:48" x14ac:dyDescent="0.2">
      <c r="A32" s="12" t="s">
        <v>786</v>
      </c>
      <c r="B32" s="2" t="s">
        <v>988</v>
      </c>
      <c r="C32" s="32">
        <v>53</v>
      </c>
      <c r="D32" s="45" t="s">
        <v>22</v>
      </c>
      <c r="E32" s="46">
        <v>16</v>
      </c>
      <c r="F32" s="41" t="s">
        <v>80</v>
      </c>
      <c r="G32" s="41" t="s">
        <v>59</v>
      </c>
      <c r="H32" s="2" t="s">
        <v>38</v>
      </c>
      <c r="I32" s="2">
        <v>3</v>
      </c>
      <c r="J32" s="2">
        <v>0</v>
      </c>
      <c r="K32" s="16">
        <v>3</v>
      </c>
      <c r="L32" s="16">
        <v>3</v>
      </c>
      <c r="M32" s="26">
        <v>36.950000000000003</v>
      </c>
      <c r="N32" s="26">
        <v>30.85</v>
      </c>
      <c r="O32" s="26">
        <v>24.87</v>
      </c>
      <c r="P32" s="1">
        <v>7535</v>
      </c>
      <c r="Q32" s="1">
        <v>4060</v>
      </c>
      <c r="R32" s="1">
        <v>2538</v>
      </c>
      <c r="S32" s="1">
        <v>81418</v>
      </c>
      <c r="T32" s="40">
        <v>41.03</v>
      </c>
      <c r="U32" s="1">
        <v>7343</v>
      </c>
      <c r="V32" s="21">
        <v>183</v>
      </c>
      <c r="W32" s="21">
        <v>179</v>
      </c>
      <c r="X32" s="21">
        <v>4</v>
      </c>
      <c r="Y32" s="21">
        <v>13</v>
      </c>
      <c r="Z32" s="22">
        <f t="shared" si="0"/>
        <v>76.862745098039213</v>
      </c>
      <c r="AA32" s="22">
        <f t="shared" si="1"/>
        <v>97.814207650273218</v>
      </c>
      <c r="AB32" s="40">
        <v>98.2</v>
      </c>
      <c r="AC32" s="1">
        <v>3988</v>
      </c>
      <c r="AD32" s="1">
        <v>67</v>
      </c>
      <c r="AE32" s="1">
        <v>3</v>
      </c>
      <c r="AF32" s="1">
        <v>2</v>
      </c>
      <c r="AG32" s="2">
        <v>14085</v>
      </c>
      <c r="AH32" s="2">
        <v>14020</v>
      </c>
      <c r="AI32" s="5" t="s">
        <v>81</v>
      </c>
      <c r="AJ32" s="38">
        <v>48.0714571948998</v>
      </c>
      <c r="AK32" s="29">
        <v>57.399868928319897</v>
      </c>
      <c r="AL32" s="29">
        <v>5.0692516307229996</v>
      </c>
      <c r="AM32" s="29">
        <v>37.408419929109598</v>
      </c>
      <c r="AN32" s="2">
        <v>4</v>
      </c>
      <c r="AO32" s="2" t="s">
        <v>923</v>
      </c>
      <c r="AP32" s="26">
        <v>3.0748137285460607E-3</v>
      </c>
      <c r="AQ32" s="2" t="s">
        <v>82</v>
      </c>
      <c r="AR32" s="2" t="s">
        <v>83</v>
      </c>
      <c r="AS32" s="2" t="s">
        <v>84</v>
      </c>
      <c r="AT32" s="13" t="s">
        <v>647</v>
      </c>
      <c r="AU32" s="2" t="s">
        <v>664</v>
      </c>
      <c r="AV32" s="2">
        <v>93.3</v>
      </c>
    </row>
    <row r="33" spans="1:48" x14ac:dyDescent="0.2">
      <c r="A33" s="12" t="s">
        <v>795</v>
      </c>
      <c r="B33" s="2" t="s">
        <v>990</v>
      </c>
      <c r="C33" s="32">
        <v>56</v>
      </c>
      <c r="D33" s="45" t="s">
        <v>22</v>
      </c>
      <c r="E33" s="46">
        <v>19</v>
      </c>
      <c r="F33" s="41" t="s">
        <v>91</v>
      </c>
      <c r="G33" s="41" t="s">
        <v>27</v>
      </c>
      <c r="H33" s="2" t="s">
        <v>28</v>
      </c>
      <c r="I33" s="2">
        <v>1</v>
      </c>
      <c r="J33" s="2">
        <v>0</v>
      </c>
      <c r="K33" s="2">
        <v>1</v>
      </c>
      <c r="L33" s="2" t="s">
        <v>22</v>
      </c>
      <c r="M33" s="17">
        <v>19.59</v>
      </c>
      <c r="N33" s="17">
        <v>17.260000000000002</v>
      </c>
      <c r="O33" s="17">
        <v>15.43</v>
      </c>
      <c r="P33" s="6">
        <v>3083</v>
      </c>
      <c r="Q33" s="6">
        <v>1699</v>
      </c>
      <c r="R33" s="6">
        <v>1232</v>
      </c>
      <c r="S33" s="6">
        <v>64417</v>
      </c>
      <c r="T33" s="18">
        <v>52.39</v>
      </c>
      <c r="U33" s="6">
        <v>11725</v>
      </c>
      <c r="V33" s="21">
        <v>96</v>
      </c>
      <c r="W33" s="21">
        <v>96</v>
      </c>
      <c r="X33" s="21">
        <v>0</v>
      </c>
      <c r="Y33" s="21">
        <v>28</v>
      </c>
      <c r="Z33" s="22">
        <f t="shared" si="0"/>
        <v>48.627450980392155</v>
      </c>
      <c r="AA33" s="22">
        <f t="shared" si="1"/>
        <v>100</v>
      </c>
      <c r="AB33" s="18">
        <v>99.4</v>
      </c>
      <c r="AC33" s="6">
        <v>1688</v>
      </c>
      <c r="AD33" s="6">
        <v>8</v>
      </c>
      <c r="AE33" s="6">
        <v>3</v>
      </c>
      <c r="AF33" s="6">
        <v>0</v>
      </c>
      <c r="AG33" s="7">
        <v>8442</v>
      </c>
      <c r="AH33" s="6">
        <v>8430</v>
      </c>
      <c r="AI33" s="5" t="s">
        <v>92</v>
      </c>
      <c r="AJ33" s="38">
        <v>40.291589553773399</v>
      </c>
      <c r="AK33" s="29">
        <v>68.789377251987901</v>
      </c>
      <c r="AL33" s="29">
        <v>11.5499137482265</v>
      </c>
      <c r="AM33" s="29">
        <v>19.526350171993201</v>
      </c>
      <c r="AN33" s="2">
        <v>2</v>
      </c>
      <c r="AO33" s="2" t="s">
        <v>925</v>
      </c>
      <c r="AP33" s="26">
        <v>1.7464657091935995E-2</v>
      </c>
      <c r="AQ33" s="2" t="s">
        <v>93</v>
      </c>
      <c r="AR33" s="2" t="s">
        <v>94</v>
      </c>
      <c r="AS33" s="2" t="s">
        <v>95</v>
      </c>
      <c r="AU33" s="2" t="s">
        <v>697</v>
      </c>
      <c r="AV33" s="29">
        <v>94.7</v>
      </c>
    </row>
    <row r="34" spans="1:48" x14ac:dyDescent="0.2">
      <c r="A34" s="12" t="s">
        <v>800</v>
      </c>
      <c r="B34" s="2" t="s">
        <v>987</v>
      </c>
      <c r="C34" s="32">
        <v>101</v>
      </c>
      <c r="D34" s="45" t="s">
        <v>22</v>
      </c>
      <c r="E34" s="46">
        <v>68</v>
      </c>
      <c r="F34" s="41" t="s">
        <v>267</v>
      </c>
      <c r="G34" s="41" t="s">
        <v>120</v>
      </c>
      <c r="H34" s="2" t="s">
        <v>121</v>
      </c>
      <c r="I34" s="2">
        <v>3</v>
      </c>
      <c r="J34" s="2">
        <v>0</v>
      </c>
      <c r="K34" s="16">
        <v>3</v>
      </c>
      <c r="L34" s="16">
        <v>3</v>
      </c>
      <c r="M34" s="38">
        <v>76.97</v>
      </c>
      <c r="N34" s="38">
        <v>61.08</v>
      </c>
      <c r="O34" s="38">
        <v>49.94</v>
      </c>
      <c r="P34" s="2">
        <v>16711</v>
      </c>
      <c r="Q34" s="2">
        <v>7404</v>
      </c>
      <c r="R34" s="2">
        <v>4526</v>
      </c>
      <c r="S34" s="2">
        <v>75978</v>
      </c>
      <c r="T34" s="29">
        <v>60.83</v>
      </c>
      <c r="U34" s="2">
        <v>7657</v>
      </c>
      <c r="V34" s="21">
        <v>179</v>
      </c>
      <c r="W34" s="21">
        <v>176</v>
      </c>
      <c r="X34" s="21">
        <v>3</v>
      </c>
      <c r="Y34" s="21">
        <v>16</v>
      </c>
      <c r="Z34" s="22">
        <f t="shared" ref="Z34:Z65" si="2">100*(V34+Y34)/255</f>
        <v>76.470588235294116</v>
      </c>
      <c r="AA34" s="22">
        <f t="shared" ref="AA34:AA65" si="3">100*W34/V34</f>
        <v>98.324022346368722</v>
      </c>
      <c r="AB34" s="29">
        <v>98.8</v>
      </c>
      <c r="AC34" s="2">
        <v>7313</v>
      </c>
      <c r="AD34" s="2">
        <v>86</v>
      </c>
      <c r="AE34" s="2">
        <v>1</v>
      </c>
      <c r="AF34" s="2">
        <v>4</v>
      </c>
      <c r="AG34" s="2">
        <v>32182</v>
      </c>
      <c r="AH34" s="2">
        <v>32155</v>
      </c>
      <c r="AI34" s="5" t="s">
        <v>268</v>
      </c>
      <c r="AJ34" s="38">
        <v>100.65096116124001</v>
      </c>
      <c r="AK34" s="29">
        <v>62.205364088016601</v>
      </c>
      <c r="AL34" s="29">
        <v>3.12848400610177</v>
      </c>
      <c r="AM34" s="29">
        <v>34.527757650310598</v>
      </c>
      <c r="AN34" s="2">
        <v>4</v>
      </c>
      <c r="AO34" s="2" t="s">
        <v>955</v>
      </c>
      <c r="AP34" s="26">
        <v>2.6298851612115776E-2</v>
      </c>
      <c r="AQ34" s="2" t="s">
        <v>269</v>
      </c>
      <c r="AR34" s="2" t="s">
        <v>270</v>
      </c>
      <c r="AS34" s="2" t="s">
        <v>271</v>
      </c>
      <c r="AU34" s="2" t="s">
        <v>628</v>
      </c>
      <c r="AV34" s="2">
        <v>98.2</v>
      </c>
    </row>
    <row r="35" spans="1:48" x14ac:dyDescent="0.2">
      <c r="A35" s="12" t="s">
        <v>555</v>
      </c>
      <c r="B35" s="2" t="s">
        <v>987</v>
      </c>
      <c r="C35" s="32">
        <v>129</v>
      </c>
      <c r="D35" s="45" t="s">
        <v>22</v>
      </c>
      <c r="E35" s="46">
        <v>97</v>
      </c>
      <c r="F35" s="41" t="s">
        <v>343</v>
      </c>
      <c r="G35" s="41" t="s">
        <v>120</v>
      </c>
      <c r="H35" s="2" t="s">
        <v>121</v>
      </c>
      <c r="I35" s="2">
        <v>1</v>
      </c>
      <c r="J35" s="2">
        <v>0</v>
      </c>
      <c r="K35" s="2">
        <v>1</v>
      </c>
      <c r="L35" s="2" t="s">
        <v>22</v>
      </c>
      <c r="M35" s="17">
        <v>32.21</v>
      </c>
      <c r="N35" s="17">
        <v>27.84</v>
      </c>
      <c r="O35" s="17">
        <v>25.46</v>
      </c>
      <c r="P35" s="6">
        <v>4861</v>
      </c>
      <c r="Q35" s="6">
        <v>2201</v>
      </c>
      <c r="R35" s="6">
        <v>1579</v>
      </c>
      <c r="S35" s="6">
        <v>104641</v>
      </c>
      <c r="T35" s="18">
        <v>60.82</v>
      </c>
      <c r="U35" s="6">
        <v>15908</v>
      </c>
      <c r="V35" s="21">
        <v>94</v>
      </c>
      <c r="W35" s="21">
        <v>94</v>
      </c>
      <c r="X35" s="21">
        <v>0</v>
      </c>
      <c r="Y35" s="21">
        <v>17</v>
      </c>
      <c r="Z35" s="22">
        <f t="shared" si="2"/>
        <v>43.529411764705884</v>
      </c>
      <c r="AA35" s="22">
        <f t="shared" si="3"/>
        <v>100</v>
      </c>
      <c r="AB35" s="18">
        <v>99.5</v>
      </c>
      <c r="AC35" s="6">
        <v>2191</v>
      </c>
      <c r="AD35" s="6">
        <v>8</v>
      </c>
      <c r="AE35" s="6">
        <v>0</v>
      </c>
      <c r="AF35" s="6">
        <v>2</v>
      </c>
      <c r="AG35" s="7">
        <v>14423</v>
      </c>
      <c r="AH35" s="6">
        <v>14405</v>
      </c>
      <c r="AI35" s="5" t="s">
        <v>344</v>
      </c>
      <c r="AJ35" s="38">
        <v>73.996917068688305</v>
      </c>
      <c r="AK35" s="29">
        <v>63.838079072591</v>
      </c>
      <c r="AL35" s="29">
        <v>5.2859101114288896</v>
      </c>
      <c r="AM35" s="29">
        <v>30.7323946477924</v>
      </c>
      <c r="AN35" s="2">
        <v>4</v>
      </c>
      <c r="AO35" s="2" t="s">
        <v>967</v>
      </c>
      <c r="AP35" s="26">
        <v>2.7453876136313567E-2</v>
      </c>
      <c r="AQ35" s="2" t="s">
        <v>345</v>
      </c>
      <c r="AR35" s="2" t="s">
        <v>346</v>
      </c>
      <c r="AS35" s="2" t="s">
        <v>347</v>
      </c>
      <c r="AU35" s="2" t="s">
        <v>706</v>
      </c>
      <c r="AV35" s="2">
        <v>97.5</v>
      </c>
    </row>
    <row r="36" spans="1:48" x14ac:dyDescent="0.2">
      <c r="A36" s="12" t="s">
        <v>774</v>
      </c>
      <c r="B36" s="2" t="s">
        <v>987</v>
      </c>
      <c r="C36" s="32">
        <v>142</v>
      </c>
      <c r="D36" s="45" t="s">
        <v>22</v>
      </c>
      <c r="E36" s="46">
        <v>111</v>
      </c>
      <c r="F36" s="41" t="s">
        <v>387</v>
      </c>
      <c r="G36" s="41" t="s">
        <v>120</v>
      </c>
      <c r="H36" s="2" t="s">
        <v>121</v>
      </c>
      <c r="I36" s="2">
        <v>1</v>
      </c>
      <c r="J36" s="2">
        <v>0</v>
      </c>
      <c r="K36" s="2">
        <v>1</v>
      </c>
      <c r="L36" s="2" t="s">
        <v>22</v>
      </c>
      <c r="M36" s="17">
        <v>11.84</v>
      </c>
      <c r="N36" s="17">
        <v>0.68</v>
      </c>
      <c r="O36" s="17">
        <v>7.0000000000000007E-2</v>
      </c>
      <c r="P36" s="6">
        <v>7939</v>
      </c>
      <c r="Q36" s="6">
        <v>183</v>
      </c>
      <c r="R36" s="6">
        <v>10</v>
      </c>
      <c r="S36" s="6">
        <v>10599</v>
      </c>
      <c r="T36" s="18">
        <v>59.71</v>
      </c>
      <c r="U36" s="6">
        <v>1466</v>
      </c>
      <c r="V36" s="21">
        <v>10</v>
      </c>
      <c r="W36" s="21">
        <v>10</v>
      </c>
      <c r="X36" s="21">
        <v>0</v>
      </c>
      <c r="Y36" s="21">
        <v>18</v>
      </c>
      <c r="Z36" s="22">
        <f t="shared" si="2"/>
        <v>10.980392156862745</v>
      </c>
      <c r="AA36" s="22">
        <f t="shared" si="3"/>
        <v>100</v>
      </c>
      <c r="AB36" s="18">
        <v>95.1</v>
      </c>
      <c r="AC36" s="6">
        <v>174</v>
      </c>
      <c r="AD36" s="6">
        <v>1</v>
      </c>
      <c r="AE36" s="6">
        <v>1</v>
      </c>
      <c r="AF36" s="6">
        <v>7</v>
      </c>
      <c r="AG36" s="6">
        <v>8542</v>
      </c>
      <c r="AH36" s="6">
        <v>8513</v>
      </c>
      <c r="AI36" s="5" t="s">
        <v>388</v>
      </c>
      <c r="AJ36" s="38">
        <v>107.829945355191</v>
      </c>
      <c r="AK36" s="29">
        <v>55.758890744787401</v>
      </c>
      <c r="AL36" s="29">
        <v>5.8870778112470203</v>
      </c>
      <c r="AM36" s="29">
        <v>38.002731143823603</v>
      </c>
      <c r="AN36" s="2">
        <v>4</v>
      </c>
      <c r="AO36" s="2" t="s">
        <v>967</v>
      </c>
      <c r="AP36" s="26">
        <v>2.7453876136313567E-2</v>
      </c>
      <c r="AQ36" s="2" t="s">
        <v>345</v>
      </c>
      <c r="AR36" s="2" t="s">
        <v>346</v>
      </c>
      <c r="AS36" s="2" t="s">
        <v>347</v>
      </c>
      <c r="AU36" s="2" t="s">
        <v>706</v>
      </c>
      <c r="AV36" s="2">
        <v>97.3</v>
      </c>
    </row>
    <row r="37" spans="1:48" x14ac:dyDescent="0.2">
      <c r="A37" s="12" t="s">
        <v>804</v>
      </c>
      <c r="B37" s="2" t="s">
        <v>987</v>
      </c>
      <c r="C37" s="32">
        <v>73</v>
      </c>
      <c r="D37" s="45" t="s">
        <v>22</v>
      </c>
      <c r="E37" s="46">
        <v>38</v>
      </c>
      <c r="F37" s="41" t="s">
        <v>609</v>
      </c>
      <c r="G37" s="41" t="s">
        <v>105</v>
      </c>
      <c r="H37" s="2" t="s">
        <v>86</v>
      </c>
      <c r="I37" s="2">
        <v>1</v>
      </c>
      <c r="J37" s="2">
        <v>0</v>
      </c>
      <c r="K37" s="2">
        <v>1</v>
      </c>
      <c r="L37" s="2" t="s">
        <v>22</v>
      </c>
      <c r="M37" s="17">
        <v>8.59</v>
      </c>
      <c r="N37" s="17">
        <v>6.64</v>
      </c>
      <c r="O37" s="17">
        <v>5.59</v>
      </c>
      <c r="P37" s="6">
        <v>1920</v>
      </c>
      <c r="Q37" s="6">
        <v>736</v>
      </c>
      <c r="R37" s="6">
        <v>465</v>
      </c>
      <c r="S37" s="6">
        <v>67986</v>
      </c>
      <c r="T37" s="18">
        <v>59.01</v>
      </c>
      <c r="U37" s="6">
        <v>8462</v>
      </c>
      <c r="V37" s="21">
        <v>42</v>
      </c>
      <c r="W37" s="21">
        <v>42</v>
      </c>
      <c r="X37" s="21">
        <v>0</v>
      </c>
      <c r="Y37" s="21">
        <v>12</v>
      </c>
      <c r="Z37" s="22">
        <f t="shared" si="2"/>
        <v>21.176470588235293</v>
      </c>
      <c r="AA37" s="22">
        <f t="shared" si="3"/>
        <v>100</v>
      </c>
      <c r="AB37" s="18">
        <v>99</v>
      </c>
      <c r="AC37" s="6">
        <v>729</v>
      </c>
      <c r="AD37" s="6">
        <v>5</v>
      </c>
      <c r="AE37" s="6">
        <v>2</v>
      </c>
      <c r="AF37" s="6">
        <v>0</v>
      </c>
      <c r="AG37" s="7">
        <v>3174</v>
      </c>
      <c r="AH37" s="6">
        <v>3155</v>
      </c>
      <c r="AI37" s="5" t="s">
        <v>155</v>
      </c>
      <c r="AJ37" s="38">
        <v>40.548281397544898</v>
      </c>
      <c r="AK37" s="29">
        <v>40.120184543170403</v>
      </c>
      <c r="AL37" s="29">
        <v>12.768082349979499</v>
      </c>
      <c r="AM37" s="29">
        <v>46.977675921382598</v>
      </c>
      <c r="AN37" s="2">
        <v>4</v>
      </c>
      <c r="AO37" s="2" t="s">
        <v>935</v>
      </c>
      <c r="AP37" s="26">
        <v>2.4433879116683838E-2</v>
      </c>
      <c r="AQ37" s="2" t="s">
        <v>156</v>
      </c>
      <c r="AR37" s="2" t="s">
        <v>157</v>
      </c>
      <c r="AS37" s="2" t="s">
        <v>158</v>
      </c>
      <c r="AU37" s="2" t="s">
        <v>707</v>
      </c>
      <c r="AV37" s="2">
        <v>97.4</v>
      </c>
    </row>
    <row r="38" spans="1:48" x14ac:dyDescent="0.2">
      <c r="A38" s="12" t="s">
        <v>809</v>
      </c>
      <c r="B38" s="2" t="s">
        <v>993</v>
      </c>
      <c r="C38" s="31">
        <v>15</v>
      </c>
      <c r="D38" s="45">
        <v>18</v>
      </c>
      <c r="E38" s="45" t="s">
        <v>22</v>
      </c>
      <c r="F38" s="41" t="s">
        <v>420</v>
      </c>
      <c r="G38" s="41" t="s">
        <v>120</v>
      </c>
      <c r="H38" s="2" t="s">
        <v>121</v>
      </c>
      <c r="I38" s="2">
        <v>2</v>
      </c>
      <c r="J38" s="2">
        <v>2</v>
      </c>
      <c r="K38" s="2">
        <v>0</v>
      </c>
      <c r="L38" s="2">
        <v>2</v>
      </c>
      <c r="M38" s="38">
        <v>3.85</v>
      </c>
      <c r="N38" s="38">
        <v>3.26</v>
      </c>
      <c r="O38" s="38">
        <v>2.9</v>
      </c>
      <c r="P38" s="2">
        <v>635</v>
      </c>
      <c r="Q38" s="2">
        <v>303</v>
      </c>
      <c r="R38" s="2">
        <v>209</v>
      </c>
      <c r="S38" s="2">
        <v>54642</v>
      </c>
      <c r="T38" s="29">
        <v>63.81</v>
      </c>
      <c r="U38" s="2">
        <v>12775</v>
      </c>
      <c r="V38" s="21">
        <v>33</v>
      </c>
      <c r="W38" s="21">
        <v>33</v>
      </c>
      <c r="X38" s="21">
        <v>0</v>
      </c>
      <c r="Y38" s="21">
        <v>10</v>
      </c>
      <c r="Z38" s="22">
        <f t="shared" si="2"/>
        <v>16.862745098039216</v>
      </c>
      <c r="AA38" s="22">
        <f t="shared" si="3"/>
        <v>100</v>
      </c>
      <c r="AB38" s="29">
        <v>96.4</v>
      </c>
      <c r="AC38" s="2">
        <v>292</v>
      </c>
      <c r="AD38" s="2">
        <v>5</v>
      </c>
      <c r="AE38" s="2">
        <v>0</v>
      </c>
      <c r="AF38" s="2">
        <v>6</v>
      </c>
      <c r="AG38" s="6">
        <v>2313</v>
      </c>
      <c r="AH38" s="2">
        <v>2312</v>
      </c>
      <c r="AI38" s="12" t="s">
        <v>421</v>
      </c>
      <c r="AJ38" s="38">
        <v>22.807769869513599</v>
      </c>
      <c r="AK38" s="29">
        <v>77.2425163637498</v>
      </c>
      <c r="AL38" s="29">
        <v>1.9842980815990101</v>
      </c>
      <c r="AM38" s="29">
        <v>20.592735717313499</v>
      </c>
      <c r="AN38" s="2">
        <v>1</v>
      </c>
      <c r="AO38" s="39" t="s">
        <v>894</v>
      </c>
      <c r="AP38" s="26">
        <v>2.4229485448184304E-2</v>
      </c>
      <c r="AQ38" s="10" t="s">
        <v>576</v>
      </c>
      <c r="AR38" s="10" t="s">
        <v>422</v>
      </c>
      <c r="AS38" s="19" t="s">
        <v>423</v>
      </c>
      <c r="AU38" s="2" t="s">
        <v>675</v>
      </c>
      <c r="AV38" s="29">
        <v>96.1</v>
      </c>
    </row>
    <row r="39" spans="1:48" x14ac:dyDescent="0.2">
      <c r="A39" s="12" t="s">
        <v>542</v>
      </c>
      <c r="B39" s="2" t="s">
        <v>990</v>
      </c>
      <c r="C39" s="31">
        <v>7</v>
      </c>
      <c r="D39" s="45">
        <v>8</v>
      </c>
      <c r="E39" s="45" t="s">
        <v>22</v>
      </c>
      <c r="F39" s="41" t="s">
        <v>521</v>
      </c>
      <c r="G39" s="41" t="s">
        <v>37</v>
      </c>
      <c r="H39" s="2" t="s">
        <v>38</v>
      </c>
      <c r="I39" s="2">
        <v>4</v>
      </c>
      <c r="J39" s="2">
        <v>4</v>
      </c>
      <c r="K39" s="2">
        <v>0</v>
      </c>
      <c r="L39" s="2">
        <v>4</v>
      </c>
      <c r="M39" s="38">
        <v>18.97</v>
      </c>
      <c r="N39" s="38">
        <v>16.27</v>
      </c>
      <c r="O39" s="38">
        <v>14.72</v>
      </c>
      <c r="P39" s="2">
        <v>3025</v>
      </c>
      <c r="Q39" s="2">
        <v>1400</v>
      </c>
      <c r="R39" s="2">
        <v>1000</v>
      </c>
      <c r="S39" s="2">
        <v>104904</v>
      </c>
      <c r="T39" s="29">
        <v>52.06</v>
      </c>
      <c r="U39" s="2">
        <v>14602</v>
      </c>
      <c r="V39" s="21">
        <v>131</v>
      </c>
      <c r="W39" s="21">
        <v>128</v>
      </c>
      <c r="X39" s="21">
        <v>3</v>
      </c>
      <c r="Y39" s="21">
        <v>20</v>
      </c>
      <c r="Z39" s="22">
        <f t="shared" si="2"/>
        <v>59.215686274509807</v>
      </c>
      <c r="AA39" s="22">
        <f t="shared" si="3"/>
        <v>97.709923664122144</v>
      </c>
      <c r="AB39" s="29">
        <v>99.9</v>
      </c>
      <c r="AC39" s="2">
        <v>1399</v>
      </c>
      <c r="AD39" s="2">
        <v>1</v>
      </c>
      <c r="AE39" s="2">
        <v>0</v>
      </c>
      <c r="AF39" s="2">
        <v>0</v>
      </c>
      <c r="AG39" s="6">
        <v>9135</v>
      </c>
      <c r="AH39" s="2">
        <v>9116</v>
      </c>
      <c r="AI39" s="12" t="s">
        <v>414</v>
      </c>
      <c r="AJ39" s="38">
        <v>32.035913542722099</v>
      </c>
      <c r="AK39" s="29">
        <v>75.128533769408193</v>
      </c>
      <c r="AL39" s="29">
        <v>3.13415773457558</v>
      </c>
      <c r="AM39" s="29">
        <v>21.5823458432859</v>
      </c>
      <c r="AN39" s="2">
        <v>1</v>
      </c>
      <c r="AO39" s="2" t="s">
        <v>890</v>
      </c>
      <c r="AP39" s="26">
        <v>0.42725679814946949</v>
      </c>
      <c r="AQ39" s="2" t="s">
        <v>570</v>
      </c>
      <c r="AR39" s="2" t="s">
        <v>415</v>
      </c>
      <c r="AS39" s="2" t="s">
        <v>416</v>
      </c>
      <c r="AT39" s="23" t="s">
        <v>635</v>
      </c>
      <c r="AU39" s="2" t="s">
        <v>667</v>
      </c>
      <c r="AV39" s="29">
        <v>94.5</v>
      </c>
    </row>
    <row r="40" spans="1:48" x14ac:dyDescent="0.2">
      <c r="A40" s="12" t="s">
        <v>761</v>
      </c>
      <c r="B40" s="2" t="s">
        <v>990</v>
      </c>
      <c r="C40" s="32">
        <v>137</v>
      </c>
      <c r="D40" s="45" t="s">
        <v>22</v>
      </c>
      <c r="E40" s="46">
        <v>105</v>
      </c>
      <c r="F40" s="41" t="s">
        <v>366</v>
      </c>
      <c r="G40" s="41" t="s">
        <v>757</v>
      </c>
      <c r="H40" s="2" t="s">
        <v>28</v>
      </c>
      <c r="I40" s="2">
        <v>1</v>
      </c>
      <c r="J40" s="2">
        <v>0</v>
      </c>
      <c r="K40" s="2">
        <v>1</v>
      </c>
      <c r="L40" s="2" t="s">
        <v>22</v>
      </c>
      <c r="M40" s="17">
        <v>9.26</v>
      </c>
      <c r="N40" s="17">
        <v>0.6</v>
      </c>
      <c r="O40" s="17">
        <v>0.13</v>
      </c>
      <c r="P40" s="6">
        <v>6025</v>
      </c>
      <c r="Q40" s="6">
        <v>156</v>
      </c>
      <c r="R40" s="6">
        <v>20</v>
      </c>
      <c r="S40" s="6">
        <v>12712</v>
      </c>
      <c r="T40" s="18">
        <v>59.04</v>
      </c>
      <c r="U40" s="6">
        <v>1512</v>
      </c>
      <c r="V40" s="21">
        <v>33</v>
      </c>
      <c r="W40" s="21">
        <v>33</v>
      </c>
      <c r="X40" s="21">
        <v>0</v>
      </c>
      <c r="Y40" s="21">
        <v>52</v>
      </c>
      <c r="Z40" s="22">
        <f t="shared" si="2"/>
        <v>33.333333333333336</v>
      </c>
      <c r="AA40" s="22">
        <f t="shared" si="3"/>
        <v>100</v>
      </c>
      <c r="AB40" s="18">
        <v>100</v>
      </c>
      <c r="AC40" s="6">
        <v>156</v>
      </c>
      <c r="AD40" s="6">
        <v>0</v>
      </c>
      <c r="AE40" s="6">
        <v>0</v>
      </c>
      <c r="AF40" s="6">
        <v>0</v>
      </c>
      <c r="AG40" s="6">
        <v>6552</v>
      </c>
      <c r="AH40" s="6">
        <v>6534</v>
      </c>
      <c r="AI40" s="5" t="s">
        <v>367</v>
      </c>
      <c r="AJ40" s="38">
        <v>27.7738463846385</v>
      </c>
      <c r="AK40" s="29">
        <v>70.589983410433305</v>
      </c>
      <c r="AL40" s="29">
        <v>4.3843360873144599</v>
      </c>
      <c r="AM40" s="29">
        <v>24.640988793049299</v>
      </c>
      <c r="AN40" s="2">
        <v>2</v>
      </c>
      <c r="AO40" s="2" t="s">
        <v>973</v>
      </c>
      <c r="AP40" s="26">
        <v>9.4513698200441849E-4</v>
      </c>
      <c r="AQ40" s="8" t="s">
        <v>55</v>
      </c>
      <c r="AR40" s="2" t="s">
        <v>368</v>
      </c>
      <c r="AS40" s="8" t="s">
        <v>55</v>
      </c>
      <c r="AU40" s="2" t="s">
        <v>734</v>
      </c>
      <c r="AV40" s="29">
        <v>98.1</v>
      </c>
    </row>
    <row r="41" spans="1:48" x14ac:dyDescent="0.2">
      <c r="A41" s="12" t="s">
        <v>805</v>
      </c>
      <c r="B41" s="2" t="s">
        <v>986</v>
      </c>
      <c r="C41" s="32">
        <v>39</v>
      </c>
      <c r="D41" s="45">
        <v>45</v>
      </c>
      <c r="E41" s="45" t="s">
        <v>22</v>
      </c>
      <c r="F41" s="41" t="s">
        <v>491</v>
      </c>
      <c r="G41" s="41" t="s">
        <v>492</v>
      </c>
      <c r="H41" s="2" t="s">
        <v>492</v>
      </c>
      <c r="I41" s="2">
        <v>1</v>
      </c>
      <c r="J41" s="2">
        <v>1</v>
      </c>
      <c r="K41" s="2">
        <v>0</v>
      </c>
      <c r="L41" s="2" t="s">
        <v>22</v>
      </c>
      <c r="M41" s="38">
        <v>15.2</v>
      </c>
      <c r="N41" s="38">
        <v>11.28</v>
      </c>
      <c r="O41" s="38">
        <v>9.5399999999999991</v>
      </c>
      <c r="P41" s="2">
        <v>3706</v>
      </c>
      <c r="Q41" s="2">
        <v>1245</v>
      </c>
      <c r="R41" s="2">
        <v>797</v>
      </c>
      <c r="S41" s="2">
        <v>50547</v>
      </c>
      <c r="T41" s="29">
        <v>53.19</v>
      </c>
      <c r="U41" s="2">
        <v>7943</v>
      </c>
      <c r="V41" s="21">
        <v>16</v>
      </c>
      <c r="W41" s="21">
        <v>15</v>
      </c>
      <c r="X41" s="21">
        <v>1</v>
      </c>
      <c r="Y41" s="21">
        <v>11</v>
      </c>
      <c r="Z41" s="22">
        <f t="shared" si="2"/>
        <v>10.588235294117647</v>
      </c>
      <c r="AA41" s="22">
        <f t="shared" si="3"/>
        <v>93.75</v>
      </c>
      <c r="AB41" s="29">
        <v>98.5</v>
      </c>
      <c r="AC41" s="2">
        <v>1226</v>
      </c>
      <c r="AD41" s="2">
        <v>16</v>
      </c>
      <c r="AE41" s="2">
        <v>3</v>
      </c>
      <c r="AF41" s="2">
        <v>0</v>
      </c>
      <c r="AG41" s="6">
        <v>6530</v>
      </c>
      <c r="AH41" s="2">
        <v>6488</v>
      </c>
      <c r="AI41" s="12" t="s">
        <v>493</v>
      </c>
      <c r="AJ41" s="38">
        <v>143.573106704438</v>
      </c>
      <c r="AK41" s="29">
        <v>52.209019604335403</v>
      </c>
      <c r="AL41" s="29">
        <v>17.849763410467201</v>
      </c>
      <c r="AM41" s="29">
        <v>29.786123641116301</v>
      </c>
      <c r="AN41" s="2">
        <v>5</v>
      </c>
      <c r="AO41" s="2" t="s">
        <v>913</v>
      </c>
      <c r="AP41" s="26">
        <v>1.7227865309625199E-2</v>
      </c>
      <c r="AQ41" s="2" t="s">
        <v>593</v>
      </c>
      <c r="AR41" s="2" t="s">
        <v>494</v>
      </c>
      <c r="AS41" s="2" t="s">
        <v>495</v>
      </c>
      <c r="AU41" s="2" t="s">
        <v>691</v>
      </c>
      <c r="AV41" s="29">
        <v>96.3</v>
      </c>
    </row>
    <row r="42" spans="1:48" x14ac:dyDescent="0.2">
      <c r="A42" s="12" t="s">
        <v>803</v>
      </c>
      <c r="B42" s="2" t="s">
        <v>992</v>
      </c>
      <c r="C42" s="32">
        <v>42</v>
      </c>
      <c r="D42" s="45" t="s">
        <v>22</v>
      </c>
      <c r="E42" s="46">
        <v>3</v>
      </c>
      <c r="F42" s="41" t="s">
        <v>528</v>
      </c>
      <c r="G42" s="41" t="s">
        <v>32</v>
      </c>
      <c r="H42" s="2" t="s">
        <v>38</v>
      </c>
      <c r="I42" s="2">
        <v>7</v>
      </c>
      <c r="J42" s="2">
        <v>0</v>
      </c>
      <c r="K42" s="16">
        <v>7</v>
      </c>
      <c r="L42" s="16">
        <v>7</v>
      </c>
      <c r="M42" s="38">
        <v>38.909999999999997</v>
      </c>
      <c r="N42" s="38">
        <v>32.65</v>
      </c>
      <c r="O42" s="38">
        <v>28.4</v>
      </c>
      <c r="P42" s="2">
        <v>6791</v>
      </c>
      <c r="Q42" s="2">
        <v>3098</v>
      </c>
      <c r="R42" s="2">
        <v>2000</v>
      </c>
      <c r="S42" s="2">
        <v>72157</v>
      </c>
      <c r="T42" s="29">
        <v>40.94</v>
      </c>
      <c r="U42" s="2">
        <v>12237</v>
      </c>
      <c r="V42" s="21">
        <v>206</v>
      </c>
      <c r="W42" s="21">
        <v>203</v>
      </c>
      <c r="X42" s="21">
        <v>3</v>
      </c>
      <c r="Y42" s="21">
        <v>17</v>
      </c>
      <c r="Z42" s="22">
        <f t="shared" si="2"/>
        <v>87.450980392156865</v>
      </c>
      <c r="AA42" s="22">
        <f t="shared" si="3"/>
        <v>98.543689320388353</v>
      </c>
      <c r="AB42" s="29">
        <v>99.6</v>
      </c>
      <c r="AC42" s="2">
        <v>3085</v>
      </c>
      <c r="AD42" s="2">
        <v>11</v>
      </c>
      <c r="AE42" s="2">
        <v>2</v>
      </c>
      <c r="AF42" s="2">
        <v>0</v>
      </c>
      <c r="AG42" s="2">
        <v>17241</v>
      </c>
      <c r="AH42" s="2">
        <v>17197</v>
      </c>
      <c r="AI42" s="5" t="s">
        <v>33</v>
      </c>
      <c r="AJ42" s="38">
        <v>44.488317895940497</v>
      </c>
      <c r="AK42" s="29">
        <v>70.9594598991997</v>
      </c>
      <c r="AL42" s="29">
        <v>1.8749681596474099</v>
      </c>
      <c r="AM42" s="29">
        <v>27.019796461301102</v>
      </c>
      <c r="AN42" s="2">
        <v>2</v>
      </c>
      <c r="AO42" s="2" t="s">
        <v>916</v>
      </c>
      <c r="AP42" s="26">
        <v>0.19292164944840098</v>
      </c>
      <c r="AQ42" s="2" t="s">
        <v>34</v>
      </c>
      <c r="AR42" s="2" t="s">
        <v>35</v>
      </c>
      <c r="AS42" s="2" t="s">
        <v>36</v>
      </c>
      <c r="AU42" s="2" t="s">
        <v>693</v>
      </c>
      <c r="AV42" s="29">
        <v>90.9</v>
      </c>
    </row>
    <row r="43" spans="1:48" x14ac:dyDescent="0.2">
      <c r="A43" s="12" t="s">
        <v>837</v>
      </c>
      <c r="B43" s="2" t="s">
        <v>991</v>
      </c>
      <c r="C43" s="32">
        <v>52</v>
      </c>
      <c r="D43" s="45" t="s">
        <v>22</v>
      </c>
      <c r="E43" s="46">
        <v>14</v>
      </c>
      <c r="F43" s="41" t="s">
        <v>652</v>
      </c>
      <c r="G43" s="41" t="s">
        <v>43</v>
      </c>
      <c r="H43" s="2" t="s">
        <v>38</v>
      </c>
      <c r="I43" s="2">
        <v>4</v>
      </c>
      <c r="J43" s="2">
        <v>0</v>
      </c>
      <c r="K43" s="16">
        <v>4</v>
      </c>
      <c r="L43" s="16">
        <v>3</v>
      </c>
      <c r="M43" s="38">
        <v>37.36</v>
      </c>
      <c r="N43" s="38">
        <v>27.79</v>
      </c>
      <c r="O43" s="38">
        <v>22.21</v>
      </c>
      <c r="P43" s="2">
        <v>8775</v>
      </c>
      <c r="Q43" s="2">
        <v>3247</v>
      </c>
      <c r="R43" s="2">
        <v>1789</v>
      </c>
      <c r="S43" s="2">
        <v>83810</v>
      </c>
      <c r="T43" s="29">
        <v>54.77</v>
      </c>
      <c r="U43" s="2">
        <v>7164</v>
      </c>
      <c r="V43" s="21">
        <v>145</v>
      </c>
      <c r="W43" s="21">
        <v>144</v>
      </c>
      <c r="X43" s="21">
        <v>1</v>
      </c>
      <c r="Y43" s="21">
        <v>24</v>
      </c>
      <c r="Z43" s="22">
        <f t="shared" si="2"/>
        <v>66.274509803921575</v>
      </c>
      <c r="AA43" s="22">
        <f t="shared" si="3"/>
        <v>99.310344827586206</v>
      </c>
      <c r="AB43" s="29">
        <v>99.8</v>
      </c>
      <c r="AC43" s="2">
        <v>3240</v>
      </c>
      <c r="AD43" s="2">
        <v>3</v>
      </c>
      <c r="AE43" s="2">
        <v>3</v>
      </c>
      <c r="AF43" s="2">
        <v>1</v>
      </c>
      <c r="AG43" s="2">
        <v>17281</v>
      </c>
      <c r="AH43" s="2">
        <v>17117</v>
      </c>
      <c r="AI43" s="5" t="s">
        <v>73</v>
      </c>
      <c r="AJ43" s="38">
        <v>56.382587897993098</v>
      </c>
      <c r="AK43" s="29">
        <v>72.901048611577394</v>
      </c>
      <c r="AL43" s="29">
        <v>3.3981849358998599</v>
      </c>
      <c r="AM43" s="29">
        <v>23.543331934242499</v>
      </c>
      <c r="AN43" s="2">
        <v>2</v>
      </c>
      <c r="AO43" s="2" t="s">
        <v>922</v>
      </c>
      <c r="AP43" s="26">
        <v>2.7504190801360892E-2</v>
      </c>
      <c r="AQ43" s="2" t="s">
        <v>74</v>
      </c>
      <c r="AR43" s="8" t="s">
        <v>55</v>
      </c>
      <c r="AS43" s="2" t="s">
        <v>75</v>
      </c>
      <c r="AU43" s="2" t="s">
        <v>673</v>
      </c>
      <c r="AV43" s="29">
        <v>89.1</v>
      </c>
    </row>
    <row r="44" spans="1:48" x14ac:dyDescent="0.2">
      <c r="A44" s="12" t="s">
        <v>802</v>
      </c>
      <c r="B44" s="2" t="s">
        <v>988</v>
      </c>
      <c r="C44" s="32">
        <v>82</v>
      </c>
      <c r="D44" s="45" t="s">
        <v>22</v>
      </c>
      <c r="E44" s="46">
        <v>48</v>
      </c>
      <c r="F44" s="41" t="s">
        <v>196</v>
      </c>
      <c r="G44" s="41" t="s">
        <v>120</v>
      </c>
      <c r="H44" s="2" t="s">
        <v>121</v>
      </c>
      <c r="I44" s="2">
        <v>3</v>
      </c>
      <c r="J44" s="2">
        <v>0</v>
      </c>
      <c r="K44" s="16">
        <v>3</v>
      </c>
      <c r="L44" s="16">
        <v>2</v>
      </c>
      <c r="M44" s="38">
        <v>35.56</v>
      </c>
      <c r="N44" s="38">
        <v>30.92</v>
      </c>
      <c r="O44" s="38">
        <v>28.2</v>
      </c>
      <c r="P44" s="2">
        <v>5261</v>
      </c>
      <c r="Q44" s="2">
        <v>2439</v>
      </c>
      <c r="R44" s="2">
        <v>1736</v>
      </c>
      <c r="S44" s="2">
        <v>103469</v>
      </c>
      <c r="T44" s="29">
        <v>63.73</v>
      </c>
      <c r="U44" s="2">
        <v>16336</v>
      </c>
      <c r="V44" s="21">
        <v>137</v>
      </c>
      <c r="W44" s="21">
        <v>136</v>
      </c>
      <c r="X44" s="21">
        <v>1</v>
      </c>
      <c r="Y44" s="21">
        <v>19</v>
      </c>
      <c r="Z44" s="22">
        <f t="shared" si="2"/>
        <v>61.176470588235297</v>
      </c>
      <c r="AA44" s="22">
        <f t="shared" si="3"/>
        <v>99.270072992700733</v>
      </c>
      <c r="AB44" s="29">
        <v>98.9</v>
      </c>
      <c r="AC44" s="2">
        <v>2411</v>
      </c>
      <c r="AD44" s="2">
        <v>28</v>
      </c>
      <c r="AE44" s="2">
        <v>0</v>
      </c>
      <c r="AF44" s="2">
        <v>0</v>
      </c>
      <c r="AG44" s="2">
        <v>18366</v>
      </c>
      <c r="AH44" s="2">
        <v>18352</v>
      </c>
      <c r="AI44" s="5" t="s">
        <v>197</v>
      </c>
      <c r="AJ44" s="38">
        <v>58.1271853546911</v>
      </c>
      <c r="AK44" s="29">
        <v>72.493418013480195</v>
      </c>
      <c r="AL44" s="29">
        <v>1.7478833993790901</v>
      </c>
      <c r="AM44" s="29">
        <v>25.5925334453324</v>
      </c>
      <c r="AN44" s="2">
        <v>2</v>
      </c>
      <c r="AO44" s="2" t="s">
        <v>941</v>
      </c>
      <c r="AP44" s="26">
        <v>2.5923279165703167E-2</v>
      </c>
      <c r="AQ44" s="2" t="s">
        <v>198</v>
      </c>
      <c r="AR44" s="2" t="s">
        <v>199</v>
      </c>
      <c r="AS44" s="2" t="s">
        <v>200</v>
      </c>
      <c r="AU44" s="2" t="s">
        <v>713</v>
      </c>
      <c r="AV44" s="2">
        <v>97.4</v>
      </c>
    </row>
    <row r="45" spans="1:48" x14ac:dyDescent="0.2">
      <c r="A45" s="12" t="s">
        <v>799</v>
      </c>
      <c r="B45" s="2" t="s">
        <v>986</v>
      </c>
      <c r="C45" s="32">
        <v>25</v>
      </c>
      <c r="D45" s="45">
        <v>29</v>
      </c>
      <c r="E45" s="45" t="s">
        <v>22</v>
      </c>
      <c r="F45" s="41" t="s">
        <v>467</v>
      </c>
      <c r="G45" s="41" t="s">
        <v>137</v>
      </c>
      <c r="H45" s="2" t="s">
        <v>38</v>
      </c>
      <c r="I45" s="2">
        <v>1</v>
      </c>
      <c r="J45" s="2">
        <v>1</v>
      </c>
      <c r="K45" s="2">
        <v>0</v>
      </c>
      <c r="L45" s="2" t="s">
        <v>22</v>
      </c>
      <c r="M45" s="38">
        <v>9.31</v>
      </c>
      <c r="N45" s="38">
        <v>6.96</v>
      </c>
      <c r="O45" s="38">
        <v>5.55</v>
      </c>
      <c r="P45" s="2">
        <v>2356</v>
      </c>
      <c r="Q45" s="2">
        <v>922</v>
      </c>
      <c r="R45" s="2">
        <v>555</v>
      </c>
      <c r="S45" s="2">
        <v>48300</v>
      </c>
      <c r="T45" s="29">
        <v>56.61</v>
      </c>
      <c r="U45" s="2">
        <v>6588</v>
      </c>
      <c r="V45" s="21">
        <v>24</v>
      </c>
      <c r="W45" s="21">
        <v>24</v>
      </c>
      <c r="X45" s="21">
        <v>0</v>
      </c>
      <c r="Y45" s="21">
        <v>9</v>
      </c>
      <c r="Z45" s="22">
        <f t="shared" si="2"/>
        <v>12.941176470588236</v>
      </c>
      <c r="AA45" s="22">
        <f t="shared" si="3"/>
        <v>100</v>
      </c>
      <c r="AB45" s="29">
        <v>98.8</v>
      </c>
      <c r="AC45" s="2">
        <v>911</v>
      </c>
      <c r="AD45" s="2">
        <v>7</v>
      </c>
      <c r="AE45" s="2">
        <v>1</v>
      </c>
      <c r="AF45" s="2">
        <v>3</v>
      </c>
      <c r="AG45" s="6">
        <v>4033</v>
      </c>
      <c r="AH45" s="2">
        <v>4021</v>
      </c>
      <c r="AI45" s="12" t="s">
        <v>468</v>
      </c>
      <c r="AJ45" s="38">
        <v>71.911970633693997</v>
      </c>
      <c r="AK45" s="29">
        <v>66.249618904445796</v>
      </c>
      <c r="AL45" s="29">
        <v>7.4499573312683003</v>
      </c>
      <c r="AM45" s="29">
        <v>26.159688413480801</v>
      </c>
      <c r="AN45" s="2">
        <v>2</v>
      </c>
      <c r="AO45" s="39" t="s">
        <v>903</v>
      </c>
      <c r="AP45" s="26">
        <v>9.7444237018039739E-2</v>
      </c>
      <c r="AQ45" s="10" t="s">
        <v>586</v>
      </c>
      <c r="AR45" s="10" t="s">
        <v>469</v>
      </c>
      <c r="AS45" s="10" t="s">
        <v>470</v>
      </c>
      <c r="AU45" s="2" t="s">
        <v>676</v>
      </c>
      <c r="AV45" s="29">
        <v>93</v>
      </c>
    </row>
    <row r="46" spans="1:48" x14ac:dyDescent="0.2">
      <c r="A46" s="12" t="s">
        <v>566</v>
      </c>
      <c r="B46" s="2" t="s">
        <v>987</v>
      </c>
      <c r="C46" s="32">
        <v>121</v>
      </c>
      <c r="D46" s="45" t="s">
        <v>22</v>
      </c>
      <c r="E46" s="46">
        <v>89</v>
      </c>
      <c r="F46" s="41" t="s">
        <v>320</v>
      </c>
      <c r="G46" s="41" t="s">
        <v>120</v>
      </c>
      <c r="H46" s="2" t="s">
        <v>121</v>
      </c>
      <c r="I46" s="2">
        <v>1</v>
      </c>
      <c r="J46" s="2">
        <v>0</v>
      </c>
      <c r="K46" s="2">
        <v>1</v>
      </c>
      <c r="L46" s="2" t="s">
        <v>22</v>
      </c>
      <c r="M46" s="17">
        <v>22.28</v>
      </c>
      <c r="N46" s="17">
        <v>18.260000000000002</v>
      </c>
      <c r="O46" s="17">
        <v>15.79</v>
      </c>
      <c r="P46" s="6">
        <v>4401</v>
      </c>
      <c r="Q46" s="6">
        <v>1959</v>
      </c>
      <c r="R46" s="6">
        <v>1323</v>
      </c>
      <c r="S46" s="6">
        <v>47736</v>
      </c>
      <c r="T46" s="18">
        <v>64.5</v>
      </c>
      <c r="U46" s="6">
        <v>9728</v>
      </c>
      <c r="V46" s="21">
        <v>44</v>
      </c>
      <c r="W46" s="21">
        <v>43</v>
      </c>
      <c r="X46" s="21">
        <v>1</v>
      </c>
      <c r="Y46" s="21">
        <v>14</v>
      </c>
      <c r="Z46" s="22">
        <f t="shared" si="2"/>
        <v>22.745098039215687</v>
      </c>
      <c r="AA46" s="22">
        <f t="shared" si="3"/>
        <v>97.727272727272734</v>
      </c>
      <c r="AB46" s="18">
        <v>98.8</v>
      </c>
      <c r="AC46" s="6">
        <v>1936</v>
      </c>
      <c r="AD46" s="6">
        <v>17</v>
      </c>
      <c r="AE46" s="6">
        <v>0</v>
      </c>
      <c r="AF46" s="6">
        <v>6</v>
      </c>
      <c r="AG46" s="7">
        <v>10585</v>
      </c>
      <c r="AH46" s="6">
        <v>10561</v>
      </c>
      <c r="AI46" s="5" t="s">
        <v>321</v>
      </c>
      <c r="AJ46" s="38">
        <v>97.953019780219805</v>
      </c>
      <c r="AK46" s="29">
        <v>64.632450847035301</v>
      </c>
      <c r="AL46" s="29">
        <v>6.6628711714321698</v>
      </c>
      <c r="AM46" s="29">
        <v>28.557704630952902</v>
      </c>
      <c r="AN46" s="2">
        <v>4</v>
      </c>
      <c r="AO46" s="39" t="s">
        <v>961</v>
      </c>
      <c r="AP46" s="26">
        <v>0.14590595213976681</v>
      </c>
      <c r="AQ46" s="8" t="s">
        <v>55</v>
      </c>
      <c r="AR46" s="34" t="s">
        <v>982</v>
      </c>
      <c r="AS46" s="34" t="s">
        <v>981</v>
      </c>
      <c r="AU46" s="2" t="s">
        <v>706</v>
      </c>
      <c r="AV46" s="2">
        <v>97.7</v>
      </c>
    </row>
    <row r="47" spans="1:48" x14ac:dyDescent="0.2">
      <c r="A47" s="12" t="s">
        <v>782</v>
      </c>
      <c r="B47" s="2" t="s">
        <v>987</v>
      </c>
      <c r="C47" s="32">
        <v>76</v>
      </c>
      <c r="D47" s="45" t="s">
        <v>22</v>
      </c>
      <c r="E47" s="46">
        <v>41</v>
      </c>
      <c r="F47" s="41" t="s">
        <v>610</v>
      </c>
      <c r="G47" s="41" t="s">
        <v>169</v>
      </c>
      <c r="H47" s="2" t="s">
        <v>86</v>
      </c>
      <c r="I47" s="2">
        <v>3</v>
      </c>
      <c r="J47" s="2">
        <v>0</v>
      </c>
      <c r="K47" s="16">
        <v>3</v>
      </c>
      <c r="L47" s="16">
        <v>3</v>
      </c>
      <c r="M47" s="38">
        <v>11.63</v>
      </c>
      <c r="N47" s="38">
        <v>7.97</v>
      </c>
      <c r="O47" s="38">
        <v>5.69</v>
      </c>
      <c r="P47" s="2">
        <v>3481</v>
      </c>
      <c r="Q47" s="2">
        <v>1273</v>
      </c>
      <c r="R47" s="2">
        <v>685</v>
      </c>
      <c r="S47" s="2">
        <v>40217</v>
      </c>
      <c r="T47" s="29">
        <v>53.45</v>
      </c>
      <c r="U47" s="2">
        <v>4888</v>
      </c>
      <c r="V47" s="21">
        <v>14</v>
      </c>
      <c r="W47" s="21">
        <v>14</v>
      </c>
      <c r="X47" s="21">
        <v>0</v>
      </c>
      <c r="Y47" s="21">
        <v>8</v>
      </c>
      <c r="Z47" s="22">
        <f t="shared" si="2"/>
        <v>8.6274509803921564</v>
      </c>
      <c r="AA47" s="22">
        <f t="shared" si="3"/>
        <v>100</v>
      </c>
      <c r="AB47" s="29">
        <v>98.8</v>
      </c>
      <c r="AC47" s="2">
        <v>1258</v>
      </c>
      <c r="AD47" s="2">
        <v>8</v>
      </c>
      <c r="AE47" s="2">
        <v>6</v>
      </c>
      <c r="AF47" s="2">
        <v>1</v>
      </c>
      <c r="AG47" s="2">
        <v>4146</v>
      </c>
      <c r="AH47" s="2">
        <v>4102</v>
      </c>
      <c r="AI47" s="5" t="s">
        <v>170</v>
      </c>
      <c r="AJ47" s="38">
        <v>134.781147161066</v>
      </c>
      <c r="AK47" s="29">
        <v>38.406719687114801</v>
      </c>
      <c r="AL47" s="29">
        <v>16.033425458704698</v>
      </c>
      <c r="AM47" s="29">
        <v>45.427156147646897</v>
      </c>
      <c r="AN47" s="2">
        <v>5</v>
      </c>
      <c r="AO47" s="2" t="s">
        <v>938</v>
      </c>
      <c r="AP47" s="26">
        <v>0.38276539287362271</v>
      </c>
      <c r="AQ47" s="2" t="s">
        <v>171</v>
      </c>
      <c r="AR47" s="2" t="s">
        <v>172</v>
      </c>
      <c r="AS47" s="2" t="s">
        <v>173</v>
      </c>
      <c r="AU47" s="2" t="s">
        <v>710</v>
      </c>
      <c r="AV47" s="29">
        <v>99.9</v>
      </c>
    </row>
    <row r="48" spans="1:48" x14ac:dyDescent="0.2">
      <c r="A48" s="12" t="s">
        <v>838</v>
      </c>
      <c r="B48" s="2" t="s">
        <v>987</v>
      </c>
      <c r="C48" s="32">
        <v>95</v>
      </c>
      <c r="D48" s="45" t="s">
        <v>22</v>
      </c>
      <c r="E48" s="46">
        <v>61</v>
      </c>
      <c r="F48" s="41" t="s">
        <v>617</v>
      </c>
      <c r="G48" s="41" t="s">
        <v>242</v>
      </c>
      <c r="H48" s="2" t="s">
        <v>121</v>
      </c>
      <c r="I48" s="2">
        <v>2</v>
      </c>
      <c r="J48" s="2">
        <v>0</v>
      </c>
      <c r="K48" s="16">
        <v>2</v>
      </c>
      <c r="L48" s="16">
        <v>2</v>
      </c>
      <c r="M48" s="38">
        <v>16.670000000000002</v>
      </c>
      <c r="N48" s="38">
        <v>13.79</v>
      </c>
      <c r="O48" s="38">
        <v>11.85</v>
      </c>
      <c r="P48" s="2">
        <v>3231</v>
      </c>
      <c r="Q48" s="2">
        <v>1497</v>
      </c>
      <c r="R48" s="2">
        <v>1003</v>
      </c>
      <c r="S48" s="2">
        <v>79612</v>
      </c>
      <c r="T48" s="29">
        <v>45.59</v>
      </c>
      <c r="U48" s="2">
        <v>9297</v>
      </c>
      <c r="V48" s="21">
        <v>68</v>
      </c>
      <c r="W48" s="21">
        <v>67</v>
      </c>
      <c r="X48" s="21">
        <v>1</v>
      </c>
      <c r="Y48" s="21">
        <v>14</v>
      </c>
      <c r="Z48" s="22">
        <f t="shared" si="2"/>
        <v>32.156862745098039</v>
      </c>
      <c r="AA48" s="22">
        <f t="shared" si="3"/>
        <v>98.529411764705884</v>
      </c>
      <c r="AB48" s="29">
        <v>99.9</v>
      </c>
      <c r="AC48" s="2">
        <v>1495</v>
      </c>
      <c r="AD48" s="2">
        <v>0</v>
      </c>
      <c r="AE48" s="2">
        <v>0</v>
      </c>
      <c r="AF48" s="2">
        <v>2</v>
      </c>
      <c r="AG48" s="2">
        <v>7035</v>
      </c>
      <c r="AH48" s="2">
        <v>7015</v>
      </c>
      <c r="AI48" s="5" t="s">
        <v>245</v>
      </c>
      <c r="AJ48" s="38">
        <v>51.847431592039797</v>
      </c>
      <c r="AK48" s="29">
        <v>71.334667215700705</v>
      </c>
      <c r="AL48" s="29">
        <v>7.0202746361520196</v>
      </c>
      <c r="AM48" s="29">
        <v>21.494567573944199</v>
      </c>
      <c r="AN48" s="2">
        <v>2</v>
      </c>
      <c r="AO48" s="2" t="s">
        <v>951</v>
      </c>
      <c r="AP48" s="26">
        <v>1.1469522124645005E-2</v>
      </c>
      <c r="AQ48" s="2" t="s">
        <v>246</v>
      </c>
      <c r="AR48" s="8" t="s">
        <v>55</v>
      </c>
      <c r="AS48" s="2" t="s">
        <v>247</v>
      </c>
      <c r="AU48" s="2" t="s">
        <v>721</v>
      </c>
      <c r="AV48" s="2">
        <v>97.9</v>
      </c>
    </row>
    <row r="49" spans="1:48" x14ac:dyDescent="0.2">
      <c r="A49" s="12" t="s">
        <v>762</v>
      </c>
      <c r="B49" s="2" t="s">
        <v>987</v>
      </c>
      <c r="C49" s="32">
        <v>90</v>
      </c>
      <c r="D49" s="45" t="s">
        <v>22</v>
      </c>
      <c r="E49" s="46">
        <v>56</v>
      </c>
      <c r="F49" s="41" t="s">
        <v>613</v>
      </c>
      <c r="G49" s="41" t="s">
        <v>105</v>
      </c>
      <c r="H49" s="2" t="s">
        <v>86</v>
      </c>
      <c r="I49" s="2">
        <v>1</v>
      </c>
      <c r="J49" s="2">
        <v>0</v>
      </c>
      <c r="K49" s="2">
        <v>1</v>
      </c>
      <c r="L49" s="2" t="s">
        <v>22</v>
      </c>
      <c r="M49" s="17">
        <v>3.17</v>
      </c>
      <c r="N49" s="17">
        <v>2.27</v>
      </c>
      <c r="O49" s="17">
        <v>2.02</v>
      </c>
      <c r="P49" s="6">
        <v>793</v>
      </c>
      <c r="Q49" s="6">
        <v>229</v>
      </c>
      <c r="R49" s="6">
        <v>165</v>
      </c>
      <c r="S49" s="6">
        <v>53730</v>
      </c>
      <c r="T49" s="18">
        <v>67.11</v>
      </c>
      <c r="U49" s="6">
        <v>8759</v>
      </c>
      <c r="V49" s="21">
        <v>25</v>
      </c>
      <c r="W49" s="21">
        <v>25</v>
      </c>
      <c r="X49" s="21">
        <v>0</v>
      </c>
      <c r="Y49" s="21">
        <v>7</v>
      </c>
      <c r="Z49" s="22">
        <f t="shared" si="2"/>
        <v>12.549019607843137</v>
      </c>
      <c r="AA49" s="22">
        <f t="shared" si="3"/>
        <v>100</v>
      </c>
      <c r="AB49" s="18">
        <v>84.7</v>
      </c>
      <c r="AC49" s="6">
        <v>194</v>
      </c>
      <c r="AD49" s="6">
        <v>34</v>
      </c>
      <c r="AE49" s="6">
        <v>0</v>
      </c>
      <c r="AF49" s="6">
        <v>1</v>
      </c>
      <c r="AG49" s="7">
        <v>1798</v>
      </c>
      <c r="AH49" s="6">
        <v>1794</v>
      </c>
      <c r="AI49" s="5" t="s">
        <v>230</v>
      </c>
      <c r="AJ49" s="38">
        <v>25.229139442231101</v>
      </c>
      <c r="AK49" s="29">
        <v>74.708496499178693</v>
      </c>
      <c r="AL49" s="29">
        <v>5.90176350182566</v>
      </c>
      <c r="AM49" s="29">
        <v>19.187892833715001</v>
      </c>
      <c r="AN49" s="2">
        <v>1</v>
      </c>
      <c r="AO49" s="39" t="s">
        <v>948</v>
      </c>
      <c r="AP49" s="26">
        <v>8.6471654973079508E-5</v>
      </c>
      <c r="AQ49" s="8" t="s">
        <v>55</v>
      </c>
      <c r="AR49" s="2" t="s">
        <v>231</v>
      </c>
      <c r="AS49" s="8" t="s">
        <v>55</v>
      </c>
      <c r="AU49" s="2" t="s">
        <v>718</v>
      </c>
      <c r="AV49" s="2">
        <v>97</v>
      </c>
    </row>
    <row r="50" spans="1:48" x14ac:dyDescent="0.2">
      <c r="A50" s="12" t="s">
        <v>847</v>
      </c>
      <c r="B50" s="2" t="s">
        <v>987</v>
      </c>
      <c r="C50" s="32">
        <v>125</v>
      </c>
      <c r="D50" s="45" t="s">
        <v>22</v>
      </c>
      <c r="E50" s="46">
        <v>93</v>
      </c>
      <c r="F50" s="41" t="s">
        <v>335</v>
      </c>
      <c r="G50" s="41" t="s">
        <v>120</v>
      </c>
      <c r="H50" s="2" t="s">
        <v>121</v>
      </c>
      <c r="I50" s="2">
        <v>1</v>
      </c>
      <c r="J50" s="2">
        <v>0</v>
      </c>
      <c r="K50" s="2">
        <v>1</v>
      </c>
      <c r="L50" s="2" t="s">
        <v>22</v>
      </c>
      <c r="M50" s="17">
        <v>44.87</v>
      </c>
      <c r="N50" s="17">
        <v>37.76</v>
      </c>
      <c r="O50" s="17">
        <v>33.42</v>
      </c>
      <c r="P50" s="6">
        <v>7919</v>
      </c>
      <c r="Q50" s="6">
        <v>3634</v>
      </c>
      <c r="R50" s="6">
        <v>2512</v>
      </c>
      <c r="S50" s="6">
        <v>100735</v>
      </c>
      <c r="T50" s="18">
        <v>62.08</v>
      </c>
      <c r="U50" s="6">
        <v>11589</v>
      </c>
      <c r="V50" s="21">
        <v>103</v>
      </c>
      <c r="W50" s="21">
        <v>102</v>
      </c>
      <c r="X50" s="21">
        <v>1</v>
      </c>
      <c r="Y50" s="21">
        <v>27</v>
      </c>
      <c r="Z50" s="22">
        <f t="shared" si="2"/>
        <v>50.980392156862742</v>
      </c>
      <c r="AA50" s="22">
        <f t="shared" si="3"/>
        <v>99.029126213592235</v>
      </c>
      <c r="AB50" s="18">
        <v>99.1</v>
      </c>
      <c r="AC50" s="6">
        <v>3603</v>
      </c>
      <c r="AD50" s="6">
        <v>30</v>
      </c>
      <c r="AE50" s="6">
        <v>0</v>
      </c>
      <c r="AF50" s="6">
        <v>1</v>
      </c>
      <c r="AG50" s="7">
        <v>19388</v>
      </c>
      <c r="AH50" s="6">
        <v>19373</v>
      </c>
      <c r="AI50" s="5" t="s">
        <v>336</v>
      </c>
      <c r="AJ50" s="38">
        <v>88.018740682620702</v>
      </c>
      <c r="AK50" s="29">
        <v>60.440441260926598</v>
      </c>
      <c r="AL50" s="29">
        <v>5.5964645533377002</v>
      </c>
      <c r="AM50" s="29">
        <v>33.822355941976603</v>
      </c>
      <c r="AN50" s="2">
        <v>4</v>
      </c>
      <c r="AO50" s="39" t="s">
        <v>964</v>
      </c>
      <c r="AP50" s="26">
        <v>0</v>
      </c>
      <c r="AQ50" s="8" t="s">
        <v>55</v>
      </c>
      <c r="AR50" s="34" t="s">
        <v>983</v>
      </c>
      <c r="AS50" s="8" t="s">
        <v>55</v>
      </c>
      <c r="AU50" s="2" t="s">
        <v>723</v>
      </c>
      <c r="AV50" s="2">
        <v>99.2</v>
      </c>
    </row>
    <row r="51" spans="1:48" x14ac:dyDescent="0.2">
      <c r="A51" s="12" t="s">
        <v>813</v>
      </c>
      <c r="B51" s="2" t="s">
        <v>986</v>
      </c>
      <c r="C51" s="32">
        <v>145</v>
      </c>
      <c r="D51" s="45" t="s">
        <v>22</v>
      </c>
      <c r="E51" s="46">
        <v>114</v>
      </c>
      <c r="F51" s="41" t="s">
        <v>661</v>
      </c>
      <c r="G51" s="41" t="s">
        <v>27</v>
      </c>
      <c r="H51" s="2" t="s">
        <v>28</v>
      </c>
      <c r="I51" s="2">
        <v>1</v>
      </c>
      <c r="J51" s="2">
        <v>0</v>
      </c>
      <c r="K51" s="2">
        <v>1</v>
      </c>
      <c r="L51" s="2" t="s">
        <v>22</v>
      </c>
      <c r="M51" s="17">
        <v>7.48</v>
      </c>
      <c r="N51" s="17">
        <v>7.0000000000000007E-2</v>
      </c>
      <c r="O51" s="17">
        <v>0</v>
      </c>
      <c r="P51" s="6">
        <v>5586</v>
      </c>
      <c r="Q51" s="6">
        <v>22</v>
      </c>
      <c r="R51" s="6">
        <v>0</v>
      </c>
      <c r="S51" s="6">
        <v>4362</v>
      </c>
      <c r="T51" s="18">
        <v>46.73</v>
      </c>
      <c r="U51" s="6">
        <v>1300</v>
      </c>
      <c r="V51" s="21">
        <v>15</v>
      </c>
      <c r="W51" s="21">
        <v>14</v>
      </c>
      <c r="X51" s="21">
        <v>1</v>
      </c>
      <c r="Y51" s="21">
        <v>25</v>
      </c>
      <c r="Z51" s="22">
        <f t="shared" si="2"/>
        <v>15.686274509803921</v>
      </c>
      <c r="AA51" s="22">
        <f t="shared" si="3"/>
        <v>93.333333333333329</v>
      </c>
      <c r="AB51" s="18">
        <v>100</v>
      </c>
      <c r="AC51" s="6">
        <v>22</v>
      </c>
      <c r="AD51" s="6">
        <v>0</v>
      </c>
      <c r="AE51" s="6">
        <v>0</v>
      </c>
      <c r="AF51" s="6">
        <v>0</v>
      </c>
      <c r="AG51" s="6">
        <v>4995</v>
      </c>
      <c r="AH51" s="6">
        <v>4984</v>
      </c>
      <c r="AI51" s="5" t="s">
        <v>394</v>
      </c>
      <c r="AJ51" s="38">
        <v>47.659133205863597</v>
      </c>
      <c r="AK51" s="29">
        <v>47.617989873381198</v>
      </c>
      <c r="AL51" s="29">
        <v>7.5173869889182798</v>
      </c>
      <c r="AM51" s="29">
        <v>44.490739019577902</v>
      </c>
      <c r="AN51" s="2">
        <v>4</v>
      </c>
      <c r="AO51" s="2" t="s">
        <v>978</v>
      </c>
      <c r="AP51" s="26">
        <v>1.3273373168787008E-2</v>
      </c>
      <c r="AQ51" s="2" t="s">
        <v>395</v>
      </c>
      <c r="AR51" s="2" t="s">
        <v>396</v>
      </c>
      <c r="AS51" s="2" t="s">
        <v>397</v>
      </c>
      <c r="AU51" s="2" t="s">
        <v>738</v>
      </c>
      <c r="AV51" s="29">
        <v>96</v>
      </c>
    </row>
    <row r="52" spans="1:48" x14ac:dyDescent="0.2">
      <c r="A52" s="12" t="s">
        <v>806</v>
      </c>
      <c r="B52" s="2" t="s">
        <v>986</v>
      </c>
      <c r="C52" s="32">
        <v>144</v>
      </c>
      <c r="D52" s="45" t="s">
        <v>22</v>
      </c>
      <c r="E52" s="46">
        <v>113</v>
      </c>
      <c r="F52" s="41" t="s">
        <v>526</v>
      </c>
      <c r="G52" s="41" t="s">
        <v>37</v>
      </c>
      <c r="H52" s="2" t="s">
        <v>38</v>
      </c>
      <c r="I52" s="2">
        <v>1</v>
      </c>
      <c r="J52" s="2">
        <v>0</v>
      </c>
      <c r="K52" s="2">
        <v>1</v>
      </c>
      <c r="L52" s="2" t="s">
        <v>22</v>
      </c>
      <c r="M52" s="17">
        <v>7.24</v>
      </c>
      <c r="N52" s="17">
        <v>0.19</v>
      </c>
      <c r="O52" s="17">
        <v>0.01</v>
      </c>
      <c r="P52" s="6">
        <v>5133</v>
      </c>
      <c r="Q52" s="6">
        <v>55</v>
      </c>
      <c r="R52" s="6">
        <v>2</v>
      </c>
      <c r="S52" s="6">
        <v>5715</v>
      </c>
      <c r="T52" s="18">
        <v>41.66</v>
      </c>
      <c r="U52" s="6">
        <v>1377</v>
      </c>
      <c r="V52" s="21">
        <v>22</v>
      </c>
      <c r="W52" s="21">
        <v>22</v>
      </c>
      <c r="X52" s="21">
        <v>0</v>
      </c>
      <c r="Y52" s="21">
        <v>34</v>
      </c>
      <c r="Z52" s="22">
        <f t="shared" si="2"/>
        <v>21.96078431372549</v>
      </c>
      <c r="AA52" s="22">
        <f t="shared" si="3"/>
        <v>100</v>
      </c>
      <c r="AB52" s="18">
        <v>98.2</v>
      </c>
      <c r="AC52" s="6">
        <v>54</v>
      </c>
      <c r="AD52" s="6">
        <v>1</v>
      </c>
      <c r="AE52" s="6">
        <v>0</v>
      </c>
      <c r="AF52" s="6">
        <v>0</v>
      </c>
      <c r="AG52" s="6">
        <v>4710</v>
      </c>
      <c r="AH52" s="6">
        <v>4704</v>
      </c>
      <c r="AI52" s="5" t="s">
        <v>390</v>
      </c>
      <c r="AJ52" s="38">
        <v>32.989462659380699</v>
      </c>
      <c r="AK52" s="29">
        <v>59.282991229467498</v>
      </c>
      <c r="AL52" s="29">
        <v>3.35452370257876</v>
      </c>
      <c r="AM52" s="29">
        <v>37.016097484348798</v>
      </c>
      <c r="AN52" s="2">
        <v>4</v>
      </c>
      <c r="AO52" s="2" t="s">
        <v>977</v>
      </c>
      <c r="AP52" s="26">
        <v>5.692413011998204E-3</v>
      </c>
      <c r="AQ52" s="2" t="s">
        <v>391</v>
      </c>
      <c r="AR52" s="2" t="s">
        <v>392</v>
      </c>
      <c r="AS52" s="2" t="s">
        <v>393</v>
      </c>
      <c r="AU52" s="2" t="s">
        <v>667</v>
      </c>
      <c r="AV52" s="29">
        <v>91.2</v>
      </c>
    </row>
    <row r="53" spans="1:48" x14ac:dyDescent="0.2">
      <c r="A53" s="12" t="s">
        <v>766</v>
      </c>
      <c r="B53" s="2" t="s">
        <v>987</v>
      </c>
      <c r="C53" s="32">
        <v>88</v>
      </c>
      <c r="D53" s="45" t="s">
        <v>22</v>
      </c>
      <c r="E53" s="46">
        <v>54</v>
      </c>
      <c r="F53" s="41" t="s">
        <v>612</v>
      </c>
      <c r="G53" s="41" t="s">
        <v>105</v>
      </c>
      <c r="H53" s="2" t="s">
        <v>86</v>
      </c>
      <c r="I53" s="2">
        <v>1</v>
      </c>
      <c r="J53" s="2">
        <v>0</v>
      </c>
      <c r="K53" s="2">
        <v>1</v>
      </c>
      <c r="L53" s="2" t="s">
        <v>22</v>
      </c>
      <c r="M53" s="17">
        <v>16.809999999999999</v>
      </c>
      <c r="N53" s="17">
        <v>11.51</v>
      </c>
      <c r="O53" s="17">
        <v>8.25</v>
      </c>
      <c r="P53" s="6">
        <v>4962</v>
      </c>
      <c r="Q53" s="6">
        <v>1789</v>
      </c>
      <c r="R53" s="6">
        <v>944</v>
      </c>
      <c r="S53" s="6">
        <v>40957</v>
      </c>
      <c r="T53" s="18">
        <v>60.1</v>
      </c>
      <c r="U53" s="6">
        <v>4890</v>
      </c>
      <c r="V53" s="21">
        <v>44</v>
      </c>
      <c r="W53" s="21">
        <v>44</v>
      </c>
      <c r="X53" s="21">
        <v>0</v>
      </c>
      <c r="Y53" s="21">
        <v>26</v>
      </c>
      <c r="Z53" s="22">
        <f t="shared" si="2"/>
        <v>27.450980392156861</v>
      </c>
      <c r="AA53" s="22">
        <f t="shared" si="3"/>
        <v>100</v>
      </c>
      <c r="AB53" s="18">
        <v>99.3</v>
      </c>
      <c r="AC53" s="6">
        <v>1776</v>
      </c>
      <c r="AD53" s="6">
        <v>8</v>
      </c>
      <c r="AE53" s="6">
        <v>1</v>
      </c>
      <c r="AF53" s="6">
        <v>4</v>
      </c>
      <c r="AG53" s="7">
        <v>7807</v>
      </c>
      <c r="AH53" s="6">
        <v>7725</v>
      </c>
      <c r="AI53" s="5" t="s">
        <v>226</v>
      </c>
      <c r="AJ53" s="38">
        <v>61.253832422586498</v>
      </c>
      <c r="AK53" s="29">
        <v>56.667382530825002</v>
      </c>
      <c r="AL53" s="29">
        <v>23.162822658522</v>
      </c>
      <c r="AM53" s="29">
        <v>19.9831011651656</v>
      </c>
      <c r="AN53" s="2">
        <v>3</v>
      </c>
      <c r="AO53" s="2" t="s">
        <v>947</v>
      </c>
      <c r="AP53" s="26">
        <v>1.9424417947028365E-4</v>
      </c>
      <c r="AQ53" s="8" t="s">
        <v>55</v>
      </c>
      <c r="AR53" s="8" t="s">
        <v>55</v>
      </c>
      <c r="AS53" s="8" t="s">
        <v>55</v>
      </c>
      <c r="AU53" s="2" t="s">
        <v>716</v>
      </c>
      <c r="AV53" s="2">
        <v>97.1</v>
      </c>
    </row>
    <row r="54" spans="1:48" x14ac:dyDescent="0.2">
      <c r="A54" s="12" t="s">
        <v>763</v>
      </c>
      <c r="B54" s="2" t="s">
        <v>986</v>
      </c>
      <c r="C54" s="32">
        <v>136</v>
      </c>
      <c r="D54" s="45" t="s">
        <v>22</v>
      </c>
      <c r="E54" s="46">
        <v>104</v>
      </c>
      <c r="F54" s="41" t="s">
        <v>525</v>
      </c>
      <c r="G54" s="41" t="s">
        <v>37</v>
      </c>
      <c r="H54" s="2" t="s">
        <v>38</v>
      </c>
      <c r="I54" s="2">
        <v>1</v>
      </c>
      <c r="J54" s="2">
        <v>0</v>
      </c>
      <c r="K54" s="2">
        <v>1</v>
      </c>
      <c r="L54" s="2" t="s">
        <v>22</v>
      </c>
      <c r="M54" s="17">
        <v>16.399999999999999</v>
      </c>
      <c r="N54" s="17">
        <v>0.81</v>
      </c>
      <c r="O54" s="17">
        <v>0.08</v>
      </c>
      <c r="P54" s="6">
        <v>11178</v>
      </c>
      <c r="Q54" s="6">
        <v>222</v>
      </c>
      <c r="R54" s="6">
        <v>13</v>
      </c>
      <c r="S54" s="6">
        <v>8871</v>
      </c>
      <c r="T54" s="18">
        <v>41.7</v>
      </c>
      <c r="U54" s="6">
        <v>1435</v>
      </c>
      <c r="V54" s="21">
        <v>13</v>
      </c>
      <c r="W54" s="21">
        <v>13</v>
      </c>
      <c r="X54" s="21">
        <v>0</v>
      </c>
      <c r="Y54" s="21">
        <v>31</v>
      </c>
      <c r="Z54" s="22">
        <f t="shared" si="2"/>
        <v>17.254901960784313</v>
      </c>
      <c r="AA54" s="22">
        <f t="shared" si="3"/>
        <v>100</v>
      </c>
      <c r="AB54" s="18">
        <v>97.7</v>
      </c>
      <c r="AC54" s="6">
        <v>217</v>
      </c>
      <c r="AD54" s="6">
        <v>5</v>
      </c>
      <c r="AE54" s="6">
        <v>0</v>
      </c>
      <c r="AF54" s="6">
        <v>0</v>
      </c>
      <c r="AG54" s="6">
        <v>9031</v>
      </c>
      <c r="AH54" s="6">
        <v>8999</v>
      </c>
      <c r="AI54" s="5" t="s">
        <v>363</v>
      </c>
      <c r="AJ54" s="38">
        <v>95.086318840579693</v>
      </c>
      <c r="AK54" s="29">
        <v>47.210071215231402</v>
      </c>
      <c r="AL54" s="29">
        <v>8.5030657117651796</v>
      </c>
      <c r="AM54" s="29">
        <v>43.957350117879201</v>
      </c>
      <c r="AN54" s="2">
        <v>4</v>
      </c>
      <c r="AO54" s="2" t="s">
        <v>972</v>
      </c>
      <c r="AP54" s="26">
        <v>1.8117750668956514E-2</v>
      </c>
      <c r="AQ54" s="2" t="s">
        <v>364</v>
      </c>
      <c r="AR54" s="2" t="s">
        <v>365</v>
      </c>
      <c r="AS54" s="8" t="s">
        <v>55</v>
      </c>
      <c r="AU54" s="2" t="s">
        <v>733</v>
      </c>
      <c r="AV54" s="29">
        <v>95.1</v>
      </c>
    </row>
    <row r="55" spans="1:48" x14ac:dyDescent="0.2">
      <c r="A55" s="12" t="s">
        <v>815</v>
      </c>
      <c r="B55" s="2" t="s">
        <v>987</v>
      </c>
      <c r="C55" s="32">
        <v>79</v>
      </c>
      <c r="D55" s="45" t="s">
        <v>22</v>
      </c>
      <c r="E55" s="46">
        <v>44</v>
      </c>
      <c r="F55" s="41" t="s">
        <v>611</v>
      </c>
      <c r="G55" s="41" t="s">
        <v>59</v>
      </c>
      <c r="H55" s="2" t="s">
        <v>38</v>
      </c>
      <c r="I55" s="2">
        <v>3</v>
      </c>
      <c r="J55" s="2">
        <v>0</v>
      </c>
      <c r="K55" s="16">
        <v>3</v>
      </c>
      <c r="L55" s="16">
        <v>3</v>
      </c>
      <c r="M55" s="38">
        <v>21.03</v>
      </c>
      <c r="N55" s="38">
        <v>17.8</v>
      </c>
      <c r="O55" s="38">
        <v>16.23</v>
      </c>
      <c r="P55" s="2">
        <v>3396</v>
      </c>
      <c r="Q55" s="2">
        <v>1418</v>
      </c>
      <c r="R55" s="2">
        <v>1007</v>
      </c>
      <c r="S55" s="2">
        <v>112740</v>
      </c>
      <c r="T55" s="29">
        <v>52.9</v>
      </c>
      <c r="U55" s="2">
        <v>15574</v>
      </c>
      <c r="V55" s="21">
        <v>168</v>
      </c>
      <c r="W55" s="21">
        <v>166</v>
      </c>
      <c r="X55" s="21">
        <v>2</v>
      </c>
      <c r="Y55" s="21">
        <v>24</v>
      </c>
      <c r="Z55" s="22">
        <f t="shared" si="2"/>
        <v>75.294117647058826</v>
      </c>
      <c r="AA55" s="22">
        <f t="shared" si="3"/>
        <v>98.80952380952381</v>
      </c>
      <c r="AB55" s="29">
        <v>99.2</v>
      </c>
      <c r="AC55" s="2">
        <v>1406</v>
      </c>
      <c r="AD55" s="2">
        <v>6</v>
      </c>
      <c r="AE55" s="2">
        <v>4</v>
      </c>
      <c r="AF55" s="2">
        <v>2</v>
      </c>
      <c r="AG55" s="2">
        <v>10577</v>
      </c>
      <c r="AH55" s="2">
        <v>10573</v>
      </c>
      <c r="AI55" s="5" t="s">
        <v>183</v>
      </c>
      <c r="AJ55" s="38">
        <v>27.925638198963998</v>
      </c>
      <c r="AK55" s="29">
        <v>81.002660948072204</v>
      </c>
      <c r="AL55" s="29">
        <v>1.63337703166194</v>
      </c>
      <c r="AM55" s="29">
        <v>17.198803170269901</v>
      </c>
      <c r="AN55" s="2">
        <v>1</v>
      </c>
      <c r="AO55" s="2" t="s">
        <v>940</v>
      </c>
      <c r="AP55" s="26">
        <v>0.14072949550755626</v>
      </c>
      <c r="AQ55" s="2" t="s">
        <v>184</v>
      </c>
      <c r="AR55" s="2" t="s">
        <v>185</v>
      </c>
      <c r="AS55" s="2" t="s">
        <v>186</v>
      </c>
      <c r="AT55" s="13" t="s">
        <v>648</v>
      </c>
      <c r="AU55" s="2" t="s">
        <v>712</v>
      </c>
      <c r="AV55" s="2">
        <v>92.4</v>
      </c>
    </row>
    <row r="56" spans="1:48" x14ac:dyDescent="0.2">
      <c r="A56" s="12" t="s">
        <v>814</v>
      </c>
      <c r="B56" s="2" t="s">
        <v>990</v>
      </c>
      <c r="C56" s="31">
        <v>6</v>
      </c>
      <c r="D56" s="45">
        <v>7</v>
      </c>
      <c r="E56" s="45">
        <v>4</v>
      </c>
      <c r="F56" s="41" t="s">
        <v>522</v>
      </c>
      <c r="G56" s="41" t="s">
        <v>37</v>
      </c>
      <c r="H56" s="2" t="s">
        <v>38</v>
      </c>
      <c r="I56" s="2">
        <v>5</v>
      </c>
      <c r="J56" s="2">
        <v>2</v>
      </c>
      <c r="K56" s="16">
        <v>3</v>
      </c>
      <c r="L56" s="16">
        <v>5</v>
      </c>
      <c r="M56" s="38">
        <v>24.27</v>
      </c>
      <c r="N56" s="38">
        <v>21.1</v>
      </c>
      <c r="O56" s="38">
        <v>18.98</v>
      </c>
      <c r="P56" s="2">
        <v>3673</v>
      </c>
      <c r="Q56" s="2">
        <v>1773</v>
      </c>
      <c r="R56" s="2">
        <v>1228</v>
      </c>
      <c r="S56" s="2">
        <v>82710</v>
      </c>
      <c r="T56" s="29">
        <v>52.82</v>
      </c>
      <c r="U56" s="2">
        <v>14704</v>
      </c>
      <c r="V56" s="21">
        <v>167</v>
      </c>
      <c r="W56" s="21">
        <v>164</v>
      </c>
      <c r="X56" s="21">
        <v>3</v>
      </c>
      <c r="Y56" s="21">
        <v>21</v>
      </c>
      <c r="Z56" s="22">
        <f t="shared" si="2"/>
        <v>73.725490196078425</v>
      </c>
      <c r="AA56" s="22">
        <f t="shared" si="3"/>
        <v>98.203592814371262</v>
      </c>
      <c r="AB56" s="29">
        <v>99.9</v>
      </c>
      <c r="AC56" s="2">
        <v>1771</v>
      </c>
      <c r="AD56" s="2">
        <v>2</v>
      </c>
      <c r="AE56" s="2">
        <v>0</v>
      </c>
      <c r="AF56" s="2">
        <v>0</v>
      </c>
      <c r="AG56" s="2">
        <v>12875</v>
      </c>
      <c r="AH56" s="2">
        <v>12850</v>
      </c>
      <c r="AI56" s="5" t="s">
        <v>39</v>
      </c>
      <c r="AJ56" s="38">
        <v>32.912370812423703</v>
      </c>
      <c r="AK56" s="29">
        <v>81.044313694251798</v>
      </c>
      <c r="AL56" s="29">
        <v>2.97744719207398</v>
      </c>
      <c r="AM56" s="29">
        <v>15.814959113446699</v>
      </c>
      <c r="AN56" s="2">
        <v>1</v>
      </c>
      <c r="AO56" s="2" t="s">
        <v>889</v>
      </c>
      <c r="AP56" s="26">
        <v>0.20292553104060024</v>
      </c>
      <c r="AQ56" s="2" t="s">
        <v>40</v>
      </c>
      <c r="AR56" s="2" t="s">
        <v>41</v>
      </c>
      <c r="AS56" s="2" t="s">
        <v>42</v>
      </c>
      <c r="AT56" s="23" t="s">
        <v>634</v>
      </c>
      <c r="AU56" s="2" t="s">
        <v>667</v>
      </c>
      <c r="AV56" s="29">
        <v>94.5</v>
      </c>
    </row>
    <row r="57" spans="1:48" x14ac:dyDescent="0.2">
      <c r="A57" s="12" t="s">
        <v>556</v>
      </c>
      <c r="B57" s="2" t="s">
        <v>987</v>
      </c>
      <c r="C57" s="32">
        <v>130</v>
      </c>
      <c r="D57" s="45" t="s">
        <v>22</v>
      </c>
      <c r="E57" s="46">
        <v>98</v>
      </c>
      <c r="F57" s="41" t="s">
        <v>348</v>
      </c>
      <c r="G57" s="41" t="s">
        <v>120</v>
      </c>
      <c r="H57" s="2" t="s">
        <v>121</v>
      </c>
      <c r="I57" s="2">
        <v>1</v>
      </c>
      <c r="J57" s="2">
        <v>0</v>
      </c>
      <c r="K57" s="2">
        <v>1</v>
      </c>
      <c r="L57" s="2" t="s">
        <v>22</v>
      </c>
      <c r="M57" s="17">
        <v>34.18</v>
      </c>
      <c r="N57" s="17">
        <v>29.73</v>
      </c>
      <c r="O57" s="17">
        <v>26.89</v>
      </c>
      <c r="P57" s="6">
        <v>5215</v>
      </c>
      <c r="Q57" s="6">
        <v>2531</v>
      </c>
      <c r="R57" s="6">
        <v>1798</v>
      </c>
      <c r="S57" s="6">
        <v>148440</v>
      </c>
      <c r="T57" s="18">
        <v>63.41</v>
      </c>
      <c r="U57" s="6">
        <v>14594</v>
      </c>
      <c r="V57" s="21">
        <v>103</v>
      </c>
      <c r="W57" s="21">
        <v>100</v>
      </c>
      <c r="X57" s="21">
        <v>3</v>
      </c>
      <c r="Y57" s="21">
        <v>19</v>
      </c>
      <c r="Z57" s="22">
        <f t="shared" si="2"/>
        <v>47.843137254901961</v>
      </c>
      <c r="AA57" s="22">
        <f t="shared" si="3"/>
        <v>97.087378640776706</v>
      </c>
      <c r="AB57" s="18">
        <v>99.4</v>
      </c>
      <c r="AC57" s="6">
        <v>2516</v>
      </c>
      <c r="AD57" s="6">
        <v>11</v>
      </c>
      <c r="AE57" s="6">
        <v>1</v>
      </c>
      <c r="AF57" s="6">
        <v>3</v>
      </c>
      <c r="AG57" s="7">
        <v>16456</v>
      </c>
      <c r="AH57" s="6">
        <v>16443</v>
      </c>
      <c r="AI57" s="5" t="s">
        <v>349</v>
      </c>
      <c r="AJ57" s="38">
        <v>71.448869147157197</v>
      </c>
      <c r="AK57" s="29">
        <v>71.282431518739003</v>
      </c>
      <c r="AL57" s="29">
        <v>3.1556555210170099</v>
      </c>
      <c r="AM57" s="29">
        <v>25.4028895877343</v>
      </c>
      <c r="AN57" s="2">
        <v>2</v>
      </c>
      <c r="AO57" s="2" t="s">
        <v>968</v>
      </c>
      <c r="AP57" s="26">
        <v>1.0579760988451037E-2</v>
      </c>
      <c r="AQ57" s="2" t="s">
        <v>350</v>
      </c>
      <c r="AR57" s="2" t="s">
        <v>351</v>
      </c>
      <c r="AS57" s="2" t="s">
        <v>352</v>
      </c>
      <c r="AU57" s="2" t="s">
        <v>706</v>
      </c>
      <c r="AV57" s="2">
        <v>97.4</v>
      </c>
    </row>
    <row r="58" spans="1:48" x14ac:dyDescent="0.2">
      <c r="A58" s="12" t="s">
        <v>776</v>
      </c>
      <c r="B58" s="2" t="s">
        <v>987</v>
      </c>
      <c r="C58" s="32">
        <v>63</v>
      </c>
      <c r="D58" s="45" t="s">
        <v>22</v>
      </c>
      <c r="E58" s="46">
        <v>28</v>
      </c>
      <c r="F58" s="41" t="s">
        <v>605</v>
      </c>
      <c r="G58" s="41" t="s">
        <v>105</v>
      </c>
      <c r="H58" s="2" t="s">
        <v>86</v>
      </c>
      <c r="I58" s="2">
        <v>7</v>
      </c>
      <c r="J58" s="2">
        <v>0</v>
      </c>
      <c r="K58" s="16">
        <v>7</v>
      </c>
      <c r="L58" s="16">
        <v>7</v>
      </c>
      <c r="M58" s="38">
        <v>20.03</v>
      </c>
      <c r="N58" s="38">
        <v>19.04</v>
      </c>
      <c r="O58" s="38">
        <v>18.399999999999999</v>
      </c>
      <c r="P58" s="2">
        <v>1451</v>
      </c>
      <c r="Q58" s="2">
        <v>874</v>
      </c>
      <c r="R58" s="2">
        <v>708</v>
      </c>
      <c r="S58" s="2">
        <v>167205</v>
      </c>
      <c r="T58" s="29">
        <v>66.33</v>
      </c>
      <c r="U58" s="2">
        <v>34877</v>
      </c>
      <c r="V58" s="21">
        <v>193</v>
      </c>
      <c r="W58" s="21">
        <v>192</v>
      </c>
      <c r="X58" s="21">
        <v>1</v>
      </c>
      <c r="Y58" s="21">
        <v>14</v>
      </c>
      <c r="Z58" s="22">
        <f t="shared" si="2"/>
        <v>81.17647058823529</v>
      </c>
      <c r="AA58" s="22">
        <f t="shared" si="3"/>
        <v>99.481865284974091</v>
      </c>
      <c r="AB58" s="29">
        <v>95.3</v>
      </c>
      <c r="AC58" s="2">
        <v>833</v>
      </c>
      <c r="AD58" s="2">
        <v>37</v>
      </c>
      <c r="AE58" s="2">
        <v>1</v>
      </c>
      <c r="AF58" s="2">
        <v>3</v>
      </c>
      <c r="AG58" s="2">
        <v>9748</v>
      </c>
      <c r="AH58" s="2">
        <v>9742</v>
      </c>
      <c r="AI58" s="5" t="s">
        <v>115</v>
      </c>
      <c r="AJ58" s="38">
        <v>24.669385316580399</v>
      </c>
      <c r="AK58" s="29">
        <v>72.729589191019699</v>
      </c>
      <c r="AL58" s="29">
        <v>4.0464218427015597</v>
      </c>
      <c r="AM58" s="29">
        <v>23.077963231614799</v>
      </c>
      <c r="AN58" s="2">
        <v>2</v>
      </c>
      <c r="AO58" s="2" t="s">
        <v>927</v>
      </c>
      <c r="AP58" s="26">
        <v>7.6244344294743471E-2</v>
      </c>
      <c r="AQ58" s="2" t="s">
        <v>116</v>
      </c>
      <c r="AR58" s="2" t="s">
        <v>117</v>
      </c>
      <c r="AS58" s="2" t="s">
        <v>118</v>
      </c>
      <c r="AU58" s="2" t="s">
        <v>104</v>
      </c>
      <c r="AV58" s="2">
        <v>98.4</v>
      </c>
    </row>
    <row r="59" spans="1:48" x14ac:dyDescent="0.2">
      <c r="A59" s="12" t="s">
        <v>777</v>
      </c>
      <c r="B59" s="2" t="s">
        <v>987</v>
      </c>
      <c r="C59" s="32">
        <v>64</v>
      </c>
      <c r="D59" s="45" t="s">
        <v>22</v>
      </c>
      <c r="E59" s="46">
        <v>29</v>
      </c>
      <c r="F59" s="41" t="s">
        <v>119</v>
      </c>
      <c r="G59" s="41" t="s">
        <v>105</v>
      </c>
      <c r="H59" s="2" t="s">
        <v>86</v>
      </c>
      <c r="I59" s="2">
        <v>1</v>
      </c>
      <c r="J59" s="2">
        <v>0</v>
      </c>
      <c r="K59" s="2">
        <v>1</v>
      </c>
      <c r="L59" s="2" t="s">
        <v>22</v>
      </c>
      <c r="M59" s="17">
        <v>6.99</v>
      </c>
      <c r="N59" s="17">
        <v>6.03</v>
      </c>
      <c r="O59" s="17">
        <v>5.64</v>
      </c>
      <c r="P59" s="6">
        <v>990</v>
      </c>
      <c r="Q59" s="6">
        <v>398</v>
      </c>
      <c r="R59" s="6">
        <v>298</v>
      </c>
      <c r="S59" s="6">
        <v>166401</v>
      </c>
      <c r="T59" s="18">
        <v>66.53</v>
      </c>
      <c r="U59" s="6">
        <v>20022</v>
      </c>
      <c r="V59" s="21">
        <v>69</v>
      </c>
      <c r="W59" s="21">
        <v>69</v>
      </c>
      <c r="X59" s="21">
        <v>0</v>
      </c>
      <c r="Y59" s="21">
        <v>12</v>
      </c>
      <c r="Z59" s="22">
        <f t="shared" si="2"/>
        <v>31.764705882352942</v>
      </c>
      <c r="AA59" s="22">
        <f t="shared" si="3"/>
        <v>100</v>
      </c>
      <c r="AB59" s="18">
        <v>95.5</v>
      </c>
      <c r="AC59" s="6">
        <v>380</v>
      </c>
      <c r="AD59" s="6">
        <v>14</v>
      </c>
      <c r="AE59" s="6">
        <v>2</v>
      </c>
      <c r="AF59" s="6">
        <v>2</v>
      </c>
      <c r="AG59" s="7">
        <v>3574</v>
      </c>
      <c r="AH59" s="6">
        <v>3564</v>
      </c>
      <c r="AI59" s="5" t="s">
        <v>115</v>
      </c>
      <c r="AJ59" s="38">
        <v>22.001744332493701</v>
      </c>
      <c r="AK59" s="29">
        <v>70.567696000746494</v>
      </c>
      <c r="AL59" s="29">
        <v>4.8749426496696904</v>
      </c>
      <c r="AM59" s="29">
        <v>24.389696603515201</v>
      </c>
      <c r="AN59" s="2">
        <v>2</v>
      </c>
      <c r="AO59" s="2" t="s">
        <v>927</v>
      </c>
      <c r="AP59" s="26">
        <v>7.6244344294743471E-2</v>
      </c>
      <c r="AQ59" s="2" t="s">
        <v>116</v>
      </c>
      <c r="AR59" s="2" t="s">
        <v>117</v>
      </c>
      <c r="AS59" s="2" t="s">
        <v>118</v>
      </c>
      <c r="AU59" s="2" t="s">
        <v>104</v>
      </c>
      <c r="AV59" s="2">
        <v>98.4</v>
      </c>
    </row>
    <row r="60" spans="1:48" x14ac:dyDescent="0.2">
      <c r="A60" s="12" t="s">
        <v>839</v>
      </c>
      <c r="B60" s="2" t="s">
        <v>990</v>
      </c>
      <c r="C60" s="32">
        <v>138</v>
      </c>
      <c r="D60" s="45" t="s">
        <v>22</v>
      </c>
      <c r="E60" s="46">
        <v>106</v>
      </c>
      <c r="F60" s="41" t="s">
        <v>534</v>
      </c>
      <c r="G60" s="41" t="s">
        <v>369</v>
      </c>
      <c r="H60" s="2" t="s">
        <v>38</v>
      </c>
      <c r="I60" s="2">
        <v>1</v>
      </c>
      <c r="J60" s="2">
        <v>0</v>
      </c>
      <c r="K60" s="2">
        <v>1</v>
      </c>
      <c r="L60" s="2" t="s">
        <v>22</v>
      </c>
      <c r="M60" s="17">
        <v>25.28</v>
      </c>
      <c r="N60" s="17">
        <v>8.36</v>
      </c>
      <c r="O60" s="17">
        <v>2.31</v>
      </c>
      <c r="P60" s="6">
        <v>11926</v>
      </c>
      <c r="Q60" s="6">
        <v>1987</v>
      </c>
      <c r="R60" s="6">
        <v>372</v>
      </c>
      <c r="S60" s="6">
        <v>11527</v>
      </c>
      <c r="T60" s="18">
        <v>54.74</v>
      </c>
      <c r="U60" s="6">
        <v>2307</v>
      </c>
      <c r="V60" s="21">
        <v>76</v>
      </c>
      <c r="W60" s="21">
        <v>75</v>
      </c>
      <c r="X60" s="21">
        <v>1</v>
      </c>
      <c r="Y60" s="21">
        <v>61</v>
      </c>
      <c r="Z60" s="22">
        <f t="shared" si="2"/>
        <v>53.725490196078432</v>
      </c>
      <c r="AA60" s="22">
        <f t="shared" si="3"/>
        <v>98.684210526315795</v>
      </c>
      <c r="AB60" s="18">
        <v>99.9</v>
      </c>
      <c r="AC60" s="6">
        <v>1986</v>
      </c>
      <c r="AD60" s="6">
        <v>1</v>
      </c>
      <c r="AE60" s="6">
        <v>0</v>
      </c>
      <c r="AF60" s="6">
        <v>0</v>
      </c>
      <c r="AG60" s="6">
        <v>15502</v>
      </c>
      <c r="AH60" s="6">
        <v>15486</v>
      </c>
      <c r="AI60" s="5" t="s">
        <v>370</v>
      </c>
      <c r="AJ60" s="38">
        <v>47.053098827470698</v>
      </c>
      <c r="AK60" s="29">
        <v>63.981630140145199</v>
      </c>
      <c r="AL60" s="29">
        <v>13.6457380319228</v>
      </c>
      <c r="AM60" s="29">
        <v>22.137378009250199</v>
      </c>
      <c r="AN60" s="2">
        <v>3</v>
      </c>
      <c r="AO60" s="2" t="s">
        <v>974</v>
      </c>
      <c r="AP60" s="26">
        <v>9.9229085860544457E-3</v>
      </c>
      <c r="AQ60" s="2" t="s">
        <v>371</v>
      </c>
      <c r="AR60" s="8" t="s">
        <v>55</v>
      </c>
      <c r="AS60" s="2" t="s">
        <v>372</v>
      </c>
      <c r="AU60" s="2" t="s">
        <v>693</v>
      </c>
      <c r="AV60" s="29">
        <v>89.4</v>
      </c>
    </row>
    <row r="61" spans="1:48" x14ac:dyDescent="0.2">
      <c r="A61" s="12" t="s">
        <v>816</v>
      </c>
      <c r="B61" s="2" t="s">
        <v>989</v>
      </c>
      <c r="C61" s="32">
        <v>48</v>
      </c>
      <c r="D61" s="45" t="s">
        <v>22</v>
      </c>
      <c r="E61" s="46">
        <v>10</v>
      </c>
      <c r="F61" s="41" t="s">
        <v>58</v>
      </c>
      <c r="G61" s="41" t="s">
        <v>59</v>
      </c>
      <c r="H61" s="2" t="s">
        <v>38</v>
      </c>
      <c r="I61" s="2">
        <v>4</v>
      </c>
      <c r="J61" s="2">
        <v>0</v>
      </c>
      <c r="K61" s="16">
        <v>4</v>
      </c>
      <c r="L61" s="16">
        <v>4</v>
      </c>
      <c r="M61" s="38">
        <v>19.57</v>
      </c>
      <c r="N61" s="38">
        <v>15.47</v>
      </c>
      <c r="O61" s="38">
        <v>13.95</v>
      </c>
      <c r="P61" s="2">
        <v>3681</v>
      </c>
      <c r="Q61" s="2">
        <v>1125</v>
      </c>
      <c r="R61" s="2">
        <v>730</v>
      </c>
      <c r="S61" s="2">
        <v>141969</v>
      </c>
      <c r="T61" s="29">
        <v>34.869999999999997</v>
      </c>
      <c r="U61" s="2">
        <v>16845</v>
      </c>
      <c r="V61" s="21">
        <v>137</v>
      </c>
      <c r="W61" s="21">
        <v>133</v>
      </c>
      <c r="X61" s="21">
        <v>4</v>
      </c>
      <c r="Y61" s="21">
        <v>26</v>
      </c>
      <c r="Z61" s="22">
        <f t="shared" si="2"/>
        <v>63.921568627450981</v>
      </c>
      <c r="AA61" s="22">
        <f t="shared" si="3"/>
        <v>97.080291970802918</v>
      </c>
      <c r="AB61" s="29">
        <v>86.6</v>
      </c>
      <c r="AC61" s="2">
        <v>974</v>
      </c>
      <c r="AD61" s="2">
        <v>145</v>
      </c>
      <c r="AE61" s="2">
        <v>0</v>
      </c>
      <c r="AF61" s="2">
        <v>6</v>
      </c>
      <c r="AG61" s="2">
        <v>9758</v>
      </c>
      <c r="AH61" s="2">
        <v>9730</v>
      </c>
      <c r="AI61" s="5" t="s">
        <v>60</v>
      </c>
      <c r="AJ61" s="38">
        <v>30.6205147058824</v>
      </c>
      <c r="AK61" s="29">
        <v>82.294768414653205</v>
      </c>
      <c r="AL61" s="29">
        <v>1.6220301070377201</v>
      </c>
      <c r="AM61" s="29">
        <v>15.9285416530316</v>
      </c>
      <c r="AN61" s="2">
        <v>1</v>
      </c>
      <c r="AO61" s="2" t="s">
        <v>184</v>
      </c>
      <c r="AP61" s="26">
        <v>0.13085215793765512</v>
      </c>
      <c r="AQ61" s="2" t="s">
        <v>61</v>
      </c>
      <c r="AR61" s="2" t="s">
        <v>62</v>
      </c>
      <c r="AS61" s="2" t="s">
        <v>63</v>
      </c>
      <c r="AT61" s="13" t="s">
        <v>649</v>
      </c>
      <c r="AU61" s="2" t="s">
        <v>695</v>
      </c>
      <c r="AV61" s="2">
        <v>92.5</v>
      </c>
    </row>
    <row r="62" spans="1:48" x14ac:dyDescent="0.2">
      <c r="A62" s="12" t="s">
        <v>808</v>
      </c>
      <c r="B62" s="2" t="s">
        <v>986</v>
      </c>
      <c r="C62" s="32">
        <v>38</v>
      </c>
      <c r="D62" s="45">
        <v>44</v>
      </c>
      <c r="E62" s="45" t="s">
        <v>22</v>
      </c>
      <c r="F62" s="41" t="s">
        <v>487</v>
      </c>
      <c r="G62" s="41" t="s">
        <v>59</v>
      </c>
      <c r="H62" s="2" t="s">
        <v>38</v>
      </c>
      <c r="I62" s="2">
        <v>1</v>
      </c>
      <c r="J62" s="2">
        <v>1</v>
      </c>
      <c r="K62" s="2">
        <v>0</v>
      </c>
      <c r="L62" s="2" t="s">
        <v>22</v>
      </c>
      <c r="M62" s="38">
        <v>13.53</v>
      </c>
      <c r="N62" s="38">
        <v>10.93</v>
      </c>
      <c r="O62" s="38">
        <v>9.75</v>
      </c>
      <c r="P62" s="2">
        <v>2650</v>
      </c>
      <c r="Q62" s="2">
        <v>1007</v>
      </c>
      <c r="R62" s="2">
        <v>700</v>
      </c>
      <c r="S62" s="2">
        <v>67071</v>
      </c>
      <c r="T62" s="29">
        <v>38.46</v>
      </c>
      <c r="U62" s="2">
        <v>11464</v>
      </c>
      <c r="V62" s="21">
        <v>61</v>
      </c>
      <c r="W62" s="21">
        <v>61</v>
      </c>
      <c r="X62" s="21">
        <v>0</v>
      </c>
      <c r="Y62" s="21">
        <v>15</v>
      </c>
      <c r="Z62" s="22">
        <f t="shared" si="2"/>
        <v>29.803921568627452</v>
      </c>
      <c r="AA62" s="22">
        <f t="shared" si="3"/>
        <v>100</v>
      </c>
      <c r="AB62" s="29">
        <v>98.3</v>
      </c>
      <c r="AC62" s="2">
        <v>990</v>
      </c>
      <c r="AD62" s="2">
        <v>17</v>
      </c>
      <c r="AE62" s="2">
        <v>0</v>
      </c>
      <c r="AF62" s="2">
        <v>0</v>
      </c>
      <c r="AG62" s="6">
        <v>6062</v>
      </c>
      <c r="AH62" s="2">
        <v>6022</v>
      </c>
      <c r="AI62" s="12" t="s">
        <v>488</v>
      </c>
      <c r="AJ62" s="38">
        <v>45.4066510067114</v>
      </c>
      <c r="AK62" s="29">
        <v>61.872835647321899</v>
      </c>
      <c r="AL62" s="29">
        <v>9.6989383484753997</v>
      </c>
      <c r="AM62" s="29">
        <v>28.264330492339798</v>
      </c>
      <c r="AN62" s="2">
        <v>2</v>
      </c>
      <c r="AO62" s="2" t="s">
        <v>912</v>
      </c>
      <c r="AP62" s="26">
        <v>1.223321100423559E-2</v>
      </c>
      <c r="AQ62" s="2" t="s">
        <v>592</v>
      </c>
      <c r="AR62" s="2" t="s">
        <v>489</v>
      </c>
      <c r="AS62" s="2" t="s">
        <v>490</v>
      </c>
      <c r="AT62" s="13" t="s">
        <v>598</v>
      </c>
      <c r="AU62" s="2" t="s">
        <v>686</v>
      </c>
      <c r="AV62" s="29">
        <v>99.1</v>
      </c>
    </row>
    <row r="63" spans="1:48" x14ac:dyDescent="0.2">
      <c r="A63" s="12" t="s">
        <v>876</v>
      </c>
      <c r="B63" s="2" t="s">
        <v>987</v>
      </c>
      <c r="C63" s="32">
        <v>87</v>
      </c>
      <c r="D63" s="45" t="s">
        <v>22</v>
      </c>
      <c r="E63" s="46">
        <v>53</v>
      </c>
      <c r="F63" s="41" t="s">
        <v>221</v>
      </c>
      <c r="G63" s="41" t="s">
        <v>879</v>
      </c>
      <c r="H63" s="2" t="s">
        <v>38</v>
      </c>
      <c r="I63" s="2">
        <v>1</v>
      </c>
      <c r="J63" s="2">
        <v>0</v>
      </c>
      <c r="K63" s="2">
        <v>1</v>
      </c>
      <c r="L63" s="2" t="s">
        <v>22</v>
      </c>
      <c r="M63" s="17">
        <v>28.37</v>
      </c>
      <c r="N63" s="17">
        <v>24.91</v>
      </c>
      <c r="O63" s="17">
        <v>22.99</v>
      </c>
      <c r="P63" s="6">
        <v>3798</v>
      </c>
      <c r="Q63" s="6">
        <v>1653</v>
      </c>
      <c r="R63" s="6">
        <v>1156</v>
      </c>
      <c r="S63" s="6">
        <v>195563</v>
      </c>
      <c r="T63" s="18">
        <v>38.74</v>
      </c>
      <c r="U63" s="6">
        <v>21957</v>
      </c>
      <c r="V63" s="21">
        <v>171</v>
      </c>
      <c r="W63" s="21">
        <v>164</v>
      </c>
      <c r="X63" s="21">
        <v>7</v>
      </c>
      <c r="Y63" s="21">
        <v>15</v>
      </c>
      <c r="Z63" s="22">
        <f t="shared" si="2"/>
        <v>72.941176470588232</v>
      </c>
      <c r="AA63" s="22">
        <f t="shared" si="3"/>
        <v>95.906432748538009</v>
      </c>
      <c r="AB63" s="18">
        <v>99.2</v>
      </c>
      <c r="AC63" s="6">
        <v>1639</v>
      </c>
      <c r="AD63" s="6">
        <v>13</v>
      </c>
      <c r="AE63" s="6">
        <v>1</v>
      </c>
      <c r="AF63" s="6">
        <v>0</v>
      </c>
      <c r="AG63" s="7">
        <v>14330</v>
      </c>
      <c r="AH63" s="6">
        <v>14329</v>
      </c>
      <c r="AI63" s="5" t="s">
        <v>222</v>
      </c>
      <c r="AJ63" s="38">
        <v>38.898411022758403</v>
      </c>
      <c r="AK63" s="29">
        <v>69.113346757834293</v>
      </c>
      <c r="AL63" s="29">
        <v>3.3728010089769702</v>
      </c>
      <c r="AM63" s="29">
        <v>27.3447518778834</v>
      </c>
      <c r="AN63" s="2">
        <v>2</v>
      </c>
      <c r="AO63" s="2" t="s">
        <v>946</v>
      </c>
      <c r="AP63" s="26">
        <v>0</v>
      </c>
      <c r="AQ63" s="2" t="s">
        <v>223</v>
      </c>
      <c r="AR63" s="2" t="s">
        <v>224</v>
      </c>
      <c r="AS63" s="2" t="s">
        <v>225</v>
      </c>
      <c r="AU63" s="2" t="s">
        <v>221</v>
      </c>
      <c r="AV63" s="2">
        <v>100</v>
      </c>
    </row>
    <row r="64" spans="1:48" x14ac:dyDescent="0.2">
      <c r="A64" s="12" t="s">
        <v>541</v>
      </c>
      <c r="B64" s="2" t="s">
        <v>993</v>
      </c>
      <c r="C64" s="31">
        <v>3</v>
      </c>
      <c r="D64" s="45">
        <v>4</v>
      </c>
      <c r="E64" s="45">
        <v>85</v>
      </c>
      <c r="F64" s="41" t="s">
        <v>308</v>
      </c>
      <c r="G64" s="41" t="s">
        <v>120</v>
      </c>
      <c r="H64" s="2" t="s">
        <v>121</v>
      </c>
      <c r="I64" s="2">
        <v>2</v>
      </c>
      <c r="J64" s="2">
        <v>1</v>
      </c>
      <c r="K64" s="16">
        <v>1</v>
      </c>
      <c r="L64" s="16">
        <v>2</v>
      </c>
      <c r="M64" s="38">
        <v>22.64</v>
      </c>
      <c r="N64" s="38">
        <v>18.989999999999998</v>
      </c>
      <c r="O64" s="38">
        <v>17.13</v>
      </c>
      <c r="P64" s="2">
        <v>3736</v>
      </c>
      <c r="Q64" s="2">
        <v>1544</v>
      </c>
      <c r="R64" s="2">
        <v>1059</v>
      </c>
      <c r="S64" s="2">
        <v>105114</v>
      </c>
      <c r="T64" s="29">
        <v>70.56</v>
      </c>
      <c r="U64" s="2">
        <v>15069</v>
      </c>
      <c r="V64" s="21">
        <v>95</v>
      </c>
      <c r="W64" s="21">
        <v>94</v>
      </c>
      <c r="X64" s="21">
        <v>1</v>
      </c>
      <c r="Y64" s="21">
        <v>24</v>
      </c>
      <c r="Z64" s="22">
        <f t="shared" si="2"/>
        <v>46.666666666666664</v>
      </c>
      <c r="AA64" s="22">
        <f t="shared" si="3"/>
        <v>98.94736842105263</v>
      </c>
      <c r="AB64" s="29">
        <v>94.2</v>
      </c>
      <c r="AC64" s="2">
        <v>1455</v>
      </c>
      <c r="AD64" s="2">
        <v>84</v>
      </c>
      <c r="AE64" s="2">
        <v>0</v>
      </c>
      <c r="AF64" s="2">
        <v>5</v>
      </c>
      <c r="AG64" s="2">
        <v>14497</v>
      </c>
      <c r="AH64" s="2">
        <v>14470</v>
      </c>
      <c r="AI64" s="5" t="s">
        <v>309</v>
      </c>
      <c r="AJ64" s="38">
        <v>48.509974287550897</v>
      </c>
      <c r="AK64" s="29">
        <v>81.6990137416267</v>
      </c>
      <c r="AL64" s="29">
        <v>3.9749721781806699</v>
      </c>
      <c r="AM64" s="29">
        <v>14.1162975237421</v>
      </c>
      <c r="AN64" s="2">
        <v>1</v>
      </c>
      <c r="AO64" s="2" t="s">
        <v>887</v>
      </c>
      <c r="AP64" s="26">
        <v>0.15118834394280553</v>
      </c>
      <c r="AQ64" s="2" t="s">
        <v>310</v>
      </c>
      <c r="AR64" s="2" t="s">
        <v>311</v>
      </c>
      <c r="AS64" s="2" t="s">
        <v>312</v>
      </c>
      <c r="AU64" s="2" t="s">
        <v>665</v>
      </c>
      <c r="AV64" s="29">
        <v>95.6</v>
      </c>
    </row>
    <row r="65" spans="1:48" x14ac:dyDescent="0.2">
      <c r="A65" s="12" t="s">
        <v>820</v>
      </c>
      <c r="B65" s="2" t="s">
        <v>990</v>
      </c>
      <c r="C65" s="31">
        <v>5</v>
      </c>
      <c r="D65" s="45">
        <v>6</v>
      </c>
      <c r="E65" s="45" t="s">
        <v>22</v>
      </c>
      <c r="F65" s="41" t="s">
        <v>509</v>
      </c>
      <c r="G65" s="41" t="s">
        <v>431</v>
      </c>
      <c r="H65" s="2" t="s">
        <v>315</v>
      </c>
      <c r="I65" s="2">
        <v>1</v>
      </c>
      <c r="J65" s="2">
        <v>1</v>
      </c>
      <c r="K65" s="2">
        <v>0</v>
      </c>
      <c r="L65" s="2" t="s">
        <v>22</v>
      </c>
      <c r="M65" s="38">
        <v>13.6</v>
      </c>
      <c r="N65" s="38">
        <v>10.85</v>
      </c>
      <c r="O65" s="38">
        <v>9.7899999999999991</v>
      </c>
      <c r="P65" s="2">
        <v>2647</v>
      </c>
      <c r="Q65" s="2">
        <v>929</v>
      </c>
      <c r="R65" s="2">
        <v>650</v>
      </c>
      <c r="S65" s="2">
        <v>120898</v>
      </c>
      <c r="T65" s="29">
        <v>39.39</v>
      </c>
      <c r="U65" s="2">
        <v>12802</v>
      </c>
      <c r="V65" s="21">
        <v>19</v>
      </c>
      <c r="W65" s="21">
        <v>19</v>
      </c>
      <c r="X65" s="21">
        <v>0</v>
      </c>
      <c r="Y65" s="21">
        <v>11</v>
      </c>
      <c r="Z65" s="22">
        <f t="shared" si="2"/>
        <v>11.764705882352942</v>
      </c>
      <c r="AA65" s="22">
        <f t="shared" si="3"/>
        <v>100</v>
      </c>
      <c r="AB65" s="29">
        <v>98.4</v>
      </c>
      <c r="AC65" s="2">
        <v>914</v>
      </c>
      <c r="AD65" s="2">
        <v>15</v>
      </c>
      <c r="AE65" s="2">
        <v>0</v>
      </c>
      <c r="AF65" s="2">
        <v>0</v>
      </c>
      <c r="AG65" s="6">
        <v>5549</v>
      </c>
      <c r="AH65" s="2">
        <v>5489</v>
      </c>
      <c r="AI65" s="12" t="s">
        <v>432</v>
      </c>
      <c r="AJ65" s="38">
        <v>115.616598639456</v>
      </c>
      <c r="AK65" s="29">
        <v>52.851554869366502</v>
      </c>
      <c r="AL65" s="29">
        <v>23.742118566879501</v>
      </c>
      <c r="AM65" s="29">
        <v>23.254559698840399</v>
      </c>
      <c r="AN65" s="2">
        <v>5</v>
      </c>
      <c r="AO65" s="2" t="s">
        <v>888</v>
      </c>
      <c r="AP65" s="26">
        <v>0.65558369725011012</v>
      </c>
      <c r="AQ65" s="2" t="s">
        <v>569</v>
      </c>
      <c r="AR65" s="2" t="s">
        <v>433</v>
      </c>
      <c r="AS65" s="2" t="s">
        <v>434</v>
      </c>
      <c r="AU65" s="2" t="s">
        <v>666</v>
      </c>
      <c r="AV65" s="29">
        <v>89.2</v>
      </c>
    </row>
    <row r="66" spans="1:48" x14ac:dyDescent="0.2">
      <c r="A66" s="12" t="s">
        <v>812</v>
      </c>
      <c r="B66" s="2" t="s">
        <v>987</v>
      </c>
      <c r="C66" s="32">
        <v>77</v>
      </c>
      <c r="D66" s="45" t="s">
        <v>22</v>
      </c>
      <c r="E66" s="46">
        <v>42</v>
      </c>
      <c r="F66" s="41" t="s">
        <v>174</v>
      </c>
      <c r="G66" s="41" t="s">
        <v>105</v>
      </c>
      <c r="H66" s="2" t="s">
        <v>86</v>
      </c>
      <c r="I66" s="2">
        <v>8</v>
      </c>
      <c r="J66" s="2">
        <v>0</v>
      </c>
      <c r="K66" s="16">
        <v>8</v>
      </c>
      <c r="L66" s="16">
        <v>8</v>
      </c>
      <c r="M66" s="38">
        <v>13.65</v>
      </c>
      <c r="N66" s="38">
        <v>13.22</v>
      </c>
      <c r="O66" s="38">
        <v>12.89</v>
      </c>
      <c r="P66" s="2">
        <v>579</v>
      </c>
      <c r="Q66" s="2">
        <v>321</v>
      </c>
      <c r="R66" s="2">
        <v>237</v>
      </c>
      <c r="S66" s="2">
        <v>496143</v>
      </c>
      <c r="T66" s="29">
        <v>59.5</v>
      </c>
      <c r="U66" s="2">
        <v>120475</v>
      </c>
      <c r="V66" s="21">
        <v>207</v>
      </c>
      <c r="W66" s="21">
        <v>206</v>
      </c>
      <c r="X66" s="21">
        <v>1</v>
      </c>
      <c r="Y66" s="21">
        <v>13</v>
      </c>
      <c r="Z66" s="22">
        <f t="shared" ref="Z66:Z97" si="4">100*(V66+Y66)/255</f>
        <v>86.274509803921575</v>
      </c>
      <c r="AA66" s="22">
        <f t="shared" ref="AA66:AA97" si="5">100*W66/V66</f>
        <v>99.516908212560381</v>
      </c>
      <c r="AB66" s="29">
        <v>98.1</v>
      </c>
      <c r="AC66" s="2">
        <v>315</v>
      </c>
      <c r="AD66" s="2">
        <v>2</v>
      </c>
      <c r="AE66" s="2">
        <v>1</v>
      </c>
      <c r="AF66" s="2">
        <v>3</v>
      </c>
      <c r="AG66" s="2">
        <v>7871</v>
      </c>
      <c r="AH66" s="2">
        <v>7865</v>
      </c>
      <c r="AI66" s="5" t="s">
        <v>175</v>
      </c>
      <c r="AJ66" s="38">
        <v>15.823290831111599</v>
      </c>
      <c r="AK66" s="29">
        <v>80.1379088757961</v>
      </c>
      <c r="AL66" s="29">
        <v>3.29182573298338</v>
      </c>
      <c r="AM66" s="29">
        <v>16.389982296214701</v>
      </c>
      <c r="AN66" s="2">
        <v>1</v>
      </c>
      <c r="AO66" s="2" t="s">
        <v>573</v>
      </c>
      <c r="AP66" s="26">
        <v>0.24146706656044292</v>
      </c>
      <c r="AQ66" s="2" t="s">
        <v>176</v>
      </c>
      <c r="AR66" s="2" t="s">
        <v>177</v>
      </c>
      <c r="AS66" s="2" t="s">
        <v>178</v>
      </c>
      <c r="AT66" s="24" t="s">
        <v>645</v>
      </c>
      <c r="AU66" s="2" t="s">
        <v>174</v>
      </c>
      <c r="AV66" s="29">
        <v>100</v>
      </c>
    </row>
    <row r="67" spans="1:48" x14ac:dyDescent="0.2">
      <c r="A67" s="12" t="s">
        <v>811</v>
      </c>
      <c r="B67" s="2" t="s">
        <v>990</v>
      </c>
      <c r="C67" s="32">
        <v>43</v>
      </c>
      <c r="D67" s="45" t="s">
        <v>22</v>
      </c>
      <c r="E67" s="46">
        <v>5</v>
      </c>
      <c r="F67" s="41" t="s">
        <v>530</v>
      </c>
      <c r="G67" s="41" t="s">
        <v>43</v>
      </c>
      <c r="H67" s="2" t="s">
        <v>38</v>
      </c>
      <c r="I67" s="2">
        <v>3</v>
      </c>
      <c r="J67" s="2">
        <v>0</v>
      </c>
      <c r="K67" s="16">
        <v>3</v>
      </c>
      <c r="L67" s="16">
        <v>3</v>
      </c>
      <c r="M67" s="38">
        <v>26.67</v>
      </c>
      <c r="N67" s="38">
        <v>21.36</v>
      </c>
      <c r="O67" s="38">
        <v>17.47</v>
      </c>
      <c r="P67" s="2">
        <v>5750</v>
      </c>
      <c r="Q67" s="2">
        <v>2663</v>
      </c>
      <c r="R67" s="2">
        <v>1659</v>
      </c>
      <c r="S67" s="2">
        <v>49878</v>
      </c>
      <c r="T67" s="29">
        <v>57.34</v>
      </c>
      <c r="U67" s="2">
        <v>7478</v>
      </c>
      <c r="V67" s="21">
        <v>88</v>
      </c>
      <c r="W67" s="21">
        <v>87</v>
      </c>
      <c r="X67" s="21">
        <v>1</v>
      </c>
      <c r="Y67" s="21">
        <v>25</v>
      </c>
      <c r="Z67" s="22">
        <f t="shared" si="4"/>
        <v>44.313725490196077</v>
      </c>
      <c r="AA67" s="22">
        <f t="shared" si="5"/>
        <v>98.86363636363636</v>
      </c>
      <c r="AB67" s="29">
        <v>99.8</v>
      </c>
      <c r="AC67" s="2">
        <v>2659</v>
      </c>
      <c r="AD67" s="2">
        <v>3</v>
      </c>
      <c r="AE67" s="2">
        <v>1</v>
      </c>
      <c r="AF67" s="2">
        <v>0</v>
      </c>
      <c r="AG67" s="2">
        <v>10927</v>
      </c>
      <c r="AH67" s="2">
        <v>10867</v>
      </c>
      <c r="AI67" s="5" t="s">
        <v>44</v>
      </c>
      <c r="AJ67" s="38">
        <v>60.181139697585202</v>
      </c>
      <c r="AK67" s="29">
        <v>78.165673232878603</v>
      </c>
      <c r="AL67" s="29">
        <v>2.8569094964674999</v>
      </c>
      <c r="AM67" s="29">
        <v>18.8395314334071</v>
      </c>
      <c r="AN67" s="2">
        <v>1</v>
      </c>
      <c r="AO67" s="2" t="s">
        <v>917</v>
      </c>
      <c r="AP67" s="26">
        <v>9.0884383807685511E-3</v>
      </c>
      <c r="AQ67" s="2" t="s">
        <v>45</v>
      </c>
      <c r="AR67" s="2" t="s">
        <v>46</v>
      </c>
      <c r="AS67" s="2" t="s">
        <v>47</v>
      </c>
      <c r="AU67" s="2" t="s">
        <v>664</v>
      </c>
      <c r="AV67" s="29">
        <v>88.2</v>
      </c>
    </row>
    <row r="68" spans="1:48" x14ac:dyDescent="0.2">
      <c r="A68" s="12" t="s">
        <v>822</v>
      </c>
      <c r="B68" s="2" t="s">
        <v>990</v>
      </c>
      <c r="C68" s="32">
        <v>19</v>
      </c>
      <c r="D68" s="45">
        <v>22</v>
      </c>
      <c r="E68" s="45">
        <v>2</v>
      </c>
      <c r="F68" s="41" t="s">
        <v>600</v>
      </c>
      <c r="G68" s="41" t="s">
        <v>27</v>
      </c>
      <c r="H68" s="2" t="s">
        <v>28</v>
      </c>
      <c r="I68" s="2">
        <v>8</v>
      </c>
      <c r="J68" s="2">
        <v>1</v>
      </c>
      <c r="K68" s="16">
        <v>7</v>
      </c>
      <c r="L68" s="2">
        <v>6</v>
      </c>
      <c r="M68" s="26">
        <v>28.77</v>
      </c>
      <c r="N68" s="26">
        <v>21.98</v>
      </c>
      <c r="O68" s="26">
        <v>16.47</v>
      </c>
      <c r="P68" s="1">
        <v>7180</v>
      </c>
      <c r="Q68" s="1">
        <v>3248</v>
      </c>
      <c r="R68" s="1">
        <v>1823</v>
      </c>
      <c r="S68" s="1">
        <v>43679</v>
      </c>
      <c r="T68" s="40">
        <v>51.69</v>
      </c>
      <c r="U68" s="1">
        <v>5881</v>
      </c>
      <c r="V68" s="21">
        <v>188</v>
      </c>
      <c r="W68" s="21">
        <v>182</v>
      </c>
      <c r="X68" s="21">
        <v>6</v>
      </c>
      <c r="Y68" s="21">
        <v>10</v>
      </c>
      <c r="Z68" s="22">
        <f t="shared" si="4"/>
        <v>77.647058823529406</v>
      </c>
      <c r="AA68" s="22">
        <f t="shared" si="5"/>
        <v>96.808510638297875</v>
      </c>
      <c r="AB68" s="40">
        <v>99.7</v>
      </c>
      <c r="AC68" s="1">
        <v>3237</v>
      </c>
      <c r="AD68" s="1">
        <v>10</v>
      </c>
      <c r="AE68" s="1">
        <v>1</v>
      </c>
      <c r="AF68" s="1">
        <v>0</v>
      </c>
      <c r="AG68" s="2">
        <v>11963</v>
      </c>
      <c r="AH68" s="2">
        <v>11917</v>
      </c>
      <c r="AI68" s="5" t="s">
        <v>29</v>
      </c>
      <c r="AJ68" s="38">
        <v>37.055086928525398</v>
      </c>
      <c r="AK68" s="29">
        <v>71.373300397677994</v>
      </c>
      <c r="AL68" s="29">
        <v>3.8662126574051801</v>
      </c>
      <c r="AM68" s="29">
        <v>24.6149560660022</v>
      </c>
      <c r="AN68" s="2">
        <v>2</v>
      </c>
      <c r="AO68" s="2" t="s">
        <v>591</v>
      </c>
      <c r="AP68" s="26">
        <v>0.21611127339117553</v>
      </c>
      <c r="AQ68" s="2" t="s">
        <v>580</v>
      </c>
      <c r="AR68" s="2" t="s">
        <v>30</v>
      </c>
      <c r="AS68" s="2" t="s">
        <v>31</v>
      </c>
      <c r="AT68" s="23" t="s">
        <v>638</v>
      </c>
      <c r="AU68" s="2" t="s">
        <v>679</v>
      </c>
      <c r="AV68" s="2">
        <v>91.7</v>
      </c>
    </row>
    <row r="69" spans="1:48" x14ac:dyDescent="0.2">
      <c r="A69" s="12" t="s">
        <v>775</v>
      </c>
      <c r="B69" s="2" t="s">
        <v>987</v>
      </c>
      <c r="C69" s="32">
        <v>122</v>
      </c>
      <c r="D69" s="45" t="s">
        <v>22</v>
      </c>
      <c r="E69" s="46">
        <v>90</v>
      </c>
      <c r="F69" s="41" t="s">
        <v>340</v>
      </c>
      <c r="G69" s="41" t="s">
        <v>120</v>
      </c>
      <c r="H69" s="2" t="s">
        <v>121</v>
      </c>
      <c r="I69" s="2">
        <v>2</v>
      </c>
      <c r="J69" s="2">
        <v>0</v>
      </c>
      <c r="K69" s="16">
        <v>2</v>
      </c>
      <c r="L69" s="16">
        <v>2</v>
      </c>
      <c r="M69" s="38">
        <v>74.16</v>
      </c>
      <c r="N69" s="38">
        <v>58.98</v>
      </c>
      <c r="O69" s="38">
        <v>48.87</v>
      </c>
      <c r="P69" s="2">
        <v>15955</v>
      </c>
      <c r="Q69" s="2">
        <v>6913</v>
      </c>
      <c r="R69" s="2">
        <v>4298</v>
      </c>
      <c r="S69" s="2">
        <v>83809</v>
      </c>
      <c r="T69" s="29">
        <v>62.87</v>
      </c>
      <c r="U69" s="2">
        <v>8150</v>
      </c>
      <c r="V69" s="21">
        <v>141</v>
      </c>
      <c r="W69" s="21">
        <v>139</v>
      </c>
      <c r="X69" s="21">
        <v>2</v>
      </c>
      <c r="Y69" s="21">
        <v>30</v>
      </c>
      <c r="Z69" s="22">
        <f t="shared" si="4"/>
        <v>67.058823529411768</v>
      </c>
      <c r="AA69" s="22">
        <f t="shared" si="5"/>
        <v>98.581560283687949</v>
      </c>
      <c r="AB69" s="29">
        <v>99.1</v>
      </c>
      <c r="AC69" s="2">
        <v>6849</v>
      </c>
      <c r="AD69" s="2">
        <v>60</v>
      </c>
      <c r="AE69" s="2">
        <v>0</v>
      </c>
      <c r="AF69" s="2">
        <v>4</v>
      </c>
      <c r="AG69" s="2">
        <v>31166</v>
      </c>
      <c r="AH69" s="2">
        <v>31139</v>
      </c>
      <c r="AI69" s="5" t="s">
        <v>322</v>
      </c>
      <c r="AJ69" s="38">
        <v>110.580199821056</v>
      </c>
      <c r="AK69" s="29">
        <v>61.158287169043902</v>
      </c>
      <c r="AL69" s="29">
        <v>4.4017293379838804</v>
      </c>
      <c r="AM69" s="29">
        <v>34.286989258537901</v>
      </c>
      <c r="AN69" s="2">
        <v>4</v>
      </c>
      <c r="AO69" s="2" t="s">
        <v>962</v>
      </c>
      <c r="AP69" s="26">
        <v>0.11672665045946971</v>
      </c>
      <c r="AQ69" s="2" t="s">
        <v>323</v>
      </c>
      <c r="AR69" s="2" t="s">
        <v>324</v>
      </c>
      <c r="AS69" s="2" t="s">
        <v>325</v>
      </c>
      <c r="AU69" s="2" t="s">
        <v>628</v>
      </c>
      <c r="AV69" s="2">
        <v>99.8</v>
      </c>
    </row>
    <row r="70" spans="1:48" x14ac:dyDescent="0.2">
      <c r="A70" s="12" t="s">
        <v>554</v>
      </c>
      <c r="B70" s="2" t="s">
        <v>987</v>
      </c>
      <c r="C70" s="32">
        <v>127</v>
      </c>
      <c r="D70" s="45" t="s">
        <v>22</v>
      </c>
      <c r="E70" s="46">
        <v>95</v>
      </c>
      <c r="F70" s="41" t="s">
        <v>628</v>
      </c>
      <c r="G70" s="41" t="s">
        <v>120</v>
      </c>
      <c r="H70" s="2" t="s">
        <v>121</v>
      </c>
      <c r="I70" s="2">
        <v>1</v>
      </c>
      <c r="J70" s="2">
        <v>0</v>
      </c>
      <c r="K70" s="2">
        <v>1</v>
      </c>
      <c r="L70" s="2" t="s">
        <v>22</v>
      </c>
      <c r="M70" s="17">
        <v>28.97</v>
      </c>
      <c r="N70" s="17">
        <v>24.94</v>
      </c>
      <c r="O70" s="17">
        <v>22.83</v>
      </c>
      <c r="P70" s="6">
        <v>4428</v>
      </c>
      <c r="Q70" s="6">
        <v>1960</v>
      </c>
      <c r="R70" s="6">
        <v>1423</v>
      </c>
      <c r="S70" s="6">
        <v>121021</v>
      </c>
      <c r="T70" s="18">
        <v>63.1</v>
      </c>
      <c r="U70" s="6">
        <v>16066</v>
      </c>
      <c r="V70" s="21">
        <v>67</v>
      </c>
      <c r="W70" s="21">
        <v>67</v>
      </c>
      <c r="X70" s="21">
        <v>0</v>
      </c>
      <c r="Y70" s="21">
        <v>18</v>
      </c>
      <c r="Z70" s="22">
        <f t="shared" si="4"/>
        <v>33.333333333333336</v>
      </c>
      <c r="AA70" s="22">
        <f t="shared" si="5"/>
        <v>100</v>
      </c>
      <c r="AB70" s="18">
        <v>99</v>
      </c>
      <c r="AC70" s="6">
        <v>1941</v>
      </c>
      <c r="AD70" s="6">
        <v>11</v>
      </c>
      <c r="AE70" s="6">
        <v>2</v>
      </c>
      <c r="AF70" s="6">
        <v>6</v>
      </c>
      <c r="AG70" s="7">
        <v>13253</v>
      </c>
      <c r="AH70" s="6">
        <v>13240</v>
      </c>
      <c r="AI70" s="5" t="s">
        <v>341</v>
      </c>
      <c r="AJ70" s="38">
        <v>86.930759075907602</v>
      </c>
      <c r="AK70" s="29">
        <v>65.301009987498404</v>
      </c>
      <c r="AL70" s="29">
        <v>4.63250838975687</v>
      </c>
      <c r="AM70" s="29">
        <v>29.922366318352299</v>
      </c>
      <c r="AN70" s="2">
        <v>4</v>
      </c>
      <c r="AO70" s="2" t="s">
        <v>962</v>
      </c>
      <c r="AP70" s="26">
        <v>0.11672665045946971</v>
      </c>
      <c r="AQ70" s="2" t="s">
        <v>323</v>
      </c>
      <c r="AR70" s="2" t="s">
        <v>324</v>
      </c>
      <c r="AS70" s="2" t="s">
        <v>325</v>
      </c>
      <c r="AU70" s="2" t="s">
        <v>628</v>
      </c>
      <c r="AV70" s="2">
        <v>100</v>
      </c>
    </row>
    <row r="71" spans="1:48" x14ac:dyDescent="0.2">
      <c r="A71" s="12" t="s">
        <v>818</v>
      </c>
      <c r="B71" s="2" t="s">
        <v>986</v>
      </c>
      <c r="C71" s="32">
        <v>37</v>
      </c>
      <c r="D71" s="45">
        <v>42</v>
      </c>
      <c r="E71" s="45" t="s">
        <v>22</v>
      </c>
      <c r="F71" s="41" t="s">
        <v>524</v>
      </c>
      <c r="G71" s="41" t="s">
        <v>37</v>
      </c>
      <c r="H71" s="2" t="s">
        <v>38</v>
      </c>
      <c r="I71" s="2">
        <v>1</v>
      </c>
      <c r="J71" s="2">
        <v>1</v>
      </c>
      <c r="K71" s="2">
        <v>0</v>
      </c>
      <c r="L71" s="2" t="s">
        <v>22</v>
      </c>
      <c r="M71" s="38">
        <v>10.08</v>
      </c>
      <c r="N71" s="38">
        <v>7.47</v>
      </c>
      <c r="O71" s="38">
        <v>5.93</v>
      </c>
      <c r="P71" s="2">
        <v>2538</v>
      </c>
      <c r="Q71" s="2">
        <v>945</v>
      </c>
      <c r="R71" s="2">
        <v>547</v>
      </c>
      <c r="S71" s="2">
        <v>76030</v>
      </c>
      <c r="T71" s="29">
        <v>58.89</v>
      </c>
      <c r="U71" s="2">
        <v>6793</v>
      </c>
      <c r="V71" s="21">
        <v>36</v>
      </c>
      <c r="W71" s="21">
        <v>36</v>
      </c>
      <c r="X71" s="21">
        <v>0</v>
      </c>
      <c r="Y71" s="21">
        <v>8</v>
      </c>
      <c r="Z71" s="22">
        <f t="shared" si="4"/>
        <v>17.254901960784313</v>
      </c>
      <c r="AA71" s="22">
        <f t="shared" si="5"/>
        <v>100</v>
      </c>
      <c r="AB71" s="29">
        <v>99.5</v>
      </c>
      <c r="AC71" s="2">
        <v>940</v>
      </c>
      <c r="AD71" s="2">
        <v>2</v>
      </c>
      <c r="AE71" s="2">
        <v>3</v>
      </c>
      <c r="AF71" s="2">
        <v>0</v>
      </c>
      <c r="AG71" s="6">
        <v>4627</v>
      </c>
      <c r="AH71" s="2">
        <v>4608</v>
      </c>
      <c r="AI71" s="12" t="s">
        <v>484</v>
      </c>
      <c r="AJ71" s="38">
        <v>58.421153623188403</v>
      </c>
      <c r="AK71" s="29">
        <v>70.713476923040304</v>
      </c>
      <c r="AL71" s="29">
        <v>5.7764663166974799</v>
      </c>
      <c r="AM71" s="29">
        <v>23.312957218494098</v>
      </c>
      <c r="AN71" s="2">
        <v>2</v>
      </c>
      <c r="AO71" s="39" t="s">
        <v>911</v>
      </c>
      <c r="AP71" s="26">
        <v>9.8757082064576118E-2</v>
      </c>
      <c r="AQ71" s="10" t="s">
        <v>591</v>
      </c>
      <c r="AR71" s="10" t="s">
        <v>485</v>
      </c>
      <c r="AS71" s="10" t="s">
        <v>486</v>
      </c>
      <c r="AU71" s="2" t="s">
        <v>667</v>
      </c>
      <c r="AV71" s="29">
        <v>92.9</v>
      </c>
    </row>
    <row r="72" spans="1:48" x14ac:dyDescent="0.2">
      <c r="A72" s="12" t="s">
        <v>567</v>
      </c>
      <c r="B72" s="2" t="s">
        <v>987</v>
      </c>
      <c r="C72" s="32">
        <v>126</v>
      </c>
      <c r="D72" s="45" t="s">
        <v>22</v>
      </c>
      <c r="E72" s="46">
        <v>94</v>
      </c>
      <c r="F72" s="41" t="s">
        <v>337</v>
      </c>
      <c r="G72" s="41" t="s">
        <v>120</v>
      </c>
      <c r="H72" s="2" t="s">
        <v>121</v>
      </c>
      <c r="I72" s="2">
        <v>1</v>
      </c>
      <c r="J72" s="2">
        <v>0</v>
      </c>
      <c r="K72" s="2">
        <v>1</v>
      </c>
      <c r="L72" s="2" t="s">
        <v>22</v>
      </c>
      <c r="M72" s="17">
        <v>28.82</v>
      </c>
      <c r="N72" s="17">
        <v>24.41</v>
      </c>
      <c r="O72" s="17">
        <v>22.11</v>
      </c>
      <c r="P72" s="6">
        <v>4727</v>
      </c>
      <c r="Q72" s="6">
        <v>2064</v>
      </c>
      <c r="R72" s="6">
        <v>1471</v>
      </c>
      <c r="S72" s="6">
        <v>102537</v>
      </c>
      <c r="T72" s="18">
        <v>64.73</v>
      </c>
      <c r="U72" s="6">
        <v>14084</v>
      </c>
      <c r="V72" s="21">
        <v>85</v>
      </c>
      <c r="W72" s="21">
        <v>84</v>
      </c>
      <c r="X72" s="21">
        <v>1</v>
      </c>
      <c r="Y72" s="21">
        <v>18</v>
      </c>
      <c r="Z72" s="22">
        <f t="shared" si="4"/>
        <v>40.392156862745097</v>
      </c>
      <c r="AA72" s="22">
        <f t="shared" si="5"/>
        <v>98.82352941176471</v>
      </c>
      <c r="AB72" s="18">
        <v>98.4</v>
      </c>
      <c r="AC72" s="6">
        <v>2031</v>
      </c>
      <c r="AD72" s="6">
        <v>31</v>
      </c>
      <c r="AE72" s="6">
        <v>1</v>
      </c>
      <c r="AF72" s="6">
        <v>1</v>
      </c>
      <c r="AG72" s="7">
        <v>12986</v>
      </c>
      <c r="AH72" s="6">
        <v>12973</v>
      </c>
      <c r="AI72" s="5" t="s">
        <v>338</v>
      </c>
      <c r="AJ72" s="38">
        <v>71.364553107204799</v>
      </c>
      <c r="AK72" s="29">
        <v>64.959391854252203</v>
      </c>
      <c r="AL72" s="29">
        <v>3.91275466542058</v>
      </c>
      <c r="AM72" s="29">
        <v>30.982329639427601</v>
      </c>
      <c r="AN72" s="2">
        <v>4</v>
      </c>
      <c r="AO72" s="2" t="s">
        <v>965</v>
      </c>
      <c r="AP72" s="26">
        <v>4.9785030904775868E-3</v>
      </c>
      <c r="AQ72" s="2" t="s">
        <v>339</v>
      </c>
      <c r="AR72" s="8" t="s">
        <v>55</v>
      </c>
      <c r="AS72" s="8" t="s">
        <v>55</v>
      </c>
      <c r="AU72" s="2" t="s">
        <v>723</v>
      </c>
      <c r="AV72" s="2">
        <v>99.3</v>
      </c>
    </row>
    <row r="73" spans="1:48" x14ac:dyDescent="0.2">
      <c r="A73" s="12" t="s">
        <v>543</v>
      </c>
      <c r="B73" s="2" t="s">
        <v>990</v>
      </c>
      <c r="C73" s="32">
        <v>22</v>
      </c>
      <c r="D73" s="45">
        <v>25</v>
      </c>
      <c r="E73" s="45" t="s">
        <v>22</v>
      </c>
      <c r="F73" s="41" t="s">
        <v>513</v>
      </c>
      <c r="G73" s="41" t="s">
        <v>455</v>
      </c>
      <c r="H73" s="2" t="s">
        <v>315</v>
      </c>
      <c r="I73" s="2">
        <v>1</v>
      </c>
      <c r="J73" s="2">
        <v>1</v>
      </c>
      <c r="K73" s="2">
        <v>0</v>
      </c>
      <c r="L73" s="2" t="s">
        <v>22</v>
      </c>
      <c r="M73" s="38">
        <v>16.2</v>
      </c>
      <c r="N73" s="38">
        <v>12.01</v>
      </c>
      <c r="O73" s="38">
        <v>9.66</v>
      </c>
      <c r="P73" s="2">
        <v>4116</v>
      </c>
      <c r="Q73" s="2">
        <v>1515</v>
      </c>
      <c r="R73" s="2">
        <v>909</v>
      </c>
      <c r="S73" s="2">
        <v>42279</v>
      </c>
      <c r="T73" s="29">
        <v>53.32</v>
      </c>
      <c r="U73" s="2">
        <v>6790</v>
      </c>
      <c r="V73" s="21">
        <v>8</v>
      </c>
      <c r="W73" s="21">
        <v>8</v>
      </c>
      <c r="X73" s="21">
        <v>0</v>
      </c>
      <c r="Y73" s="21">
        <v>11</v>
      </c>
      <c r="Z73" s="22">
        <f t="shared" si="4"/>
        <v>7.4509803921568629</v>
      </c>
      <c r="AA73" s="22">
        <f t="shared" si="5"/>
        <v>100</v>
      </c>
      <c r="AB73" s="29">
        <v>99.9</v>
      </c>
      <c r="AC73" s="2">
        <v>1513</v>
      </c>
      <c r="AD73" s="2">
        <v>2</v>
      </c>
      <c r="AE73" s="2">
        <v>0</v>
      </c>
      <c r="AF73" s="2">
        <v>0</v>
      </c>
      <c r="AG73" s="6">
        <v>7615</v>
      </c>
      <c r="AH73" s="2">
        <v>7427</v>
      </c>
      <c r="AI73" s="12" t="s">
        <v>462</v>
      </c>
      <c r="AJ73" s="38">
        <v>217.44689932885899</v>
      </c>
      <c r="AK73" s="29">
        <v>36.337727504436202</v>
      </c>
      <c r="AL73" s="29">
        <v>29.8648735903679</v>
      </c>
      <c r="AM73" s="29">
        <v>33.613279279971103</v>
      </c>
      <c r="AN73" s="2">
        <v>5</v>
      </c>
      <c r="AO73" s="39" t="s">
        <v>900</v>
      </c>
      <c r="AP73" s="26">
        <v>1.7177347726177847E-3</v>
      </c>
      <c r="AQ73" s="10" t="s">
        <v>583</v>
      </c>
      <c r="AR73" s="10" t="s">
        <v>463</v>
      </c>
      <c r="AS73" s="8" t="s">
        <v>55</v>
      </c>
      <c r="AU73" s="2" t="s">
        <v>682</v>
      </c>
      <c r="AV73" s="29">
        <v>91.2</v>
      </c>
    </row>
    <row r="74" spans="1:48" x14ac:dyDescent="0.2">
      <c r="A74" s="12" t="s">
        <v>817</v>
      </c>
      <c r="B74" s="2" t="s">
        <v>990</v>
      </c>
      <c r="C74" s="31">
        <v>10</v>
      </c>
      <c r="D74" s="45">
        <v>11</v>
      </c>
      <c r="E74" s="45">
        <v>107</v>
      </c>
      <c r="F74" s="41" t="s">
        <v>527</v>
      </c>
      <c r="G74" s="41" t="s">
        <v>32</v>
      </c>
      <c r="H74" s="2" t="s">
        <v>38</v>
      </c>
      <c r="I74" s="2">
        <v>3</v>
      </c>
      <c r="J74" s="2">
        <v>2</v>
      </c>
      <c r="K74" s="2">
        <v>1</v>
      </c>
      <c r="L74" s="2">
        <v>3</v>
      </c>
      <c r="M74" s="38">
        <v>27.53</v>
      </c>
      <c r="N74" s="38">
        <v>13.16</v>
      </c>
      <c r="O74" s="38">
        <v>9.6300000000000008</v>
      </c>
      <c r="P74" s="2">
        <v>10896</v>
      </c>
      <c r="Q74" s="2">
        <v>1763</v>
      </c>
      <c r="R74" s="2">
        <v>829</v>
      </c>
      <c r="S74" s="2">
        <v>77176</v>
      </c>
      <c r="T74" s="29">
        <v>34.85</v>
      </c>
      <c r="U74" s="2">
        <v>2814</v>
      </c>
      <c r="V74" s="21">
        <v>114</v>
      </c>
      <c r="W74" s="21">
        <v>111</v>
      </c>
      <c r="X74" s="21">
        <v>3</v>
      </c>
      <c r="Y74" s="21">
        <v>36</v>
      </c>
      <c r="Z74" s="22">
        <f t="shared" si="4"/>
        <v>58.823529411764703</v>
      </c>
      <c r="AA74" s="22">
        <f t="shared" si="5"/>
        <v>97.368421052631575</v>
      </c>
      <c r="AB74" s="40">
        <v>97.6</v>
      </c>
      <c r="AC74" s="1">
        <v>1721</v>
      </c>
      <c r="AD74" s="1">
        <v>36</v>
      </c>
      <c r="AE74" s="1">
        <v>4</v>
      </c>
      <c r="AF74" s="1">
        <v>2</v>
      </c>
      <c r="AG74" s="2">
        <v>15048</v>
      </c>
      <c r="AH74" s="2">
        <v>15007</v>
      </c>
      <c r="AI74" s="12" t="s">
        <v>419</v>
      </c>
      <c r="AJ74" s="38">
        <v>46.800775246514803</v>
      </c>
      <c r="AK74" s="29">
        <v>73.328318842020096</v>
      </c>
      <c r="AL74" s="29">
        <v>2.1398807681543901</v>
      </c>
      <c r="AM74" s="29">
        <v>24.3134607778434</v>
      </c>
      <c r="AN74" s="2">
        <v>2</v>
      </c>
      <c r="AO74" s="2" t="s">
        <v>569</v>
      </c>
      <c r="AP74" s="26">
        <v>1.0413292562152801</v>
      </c>
      <c r="AQ74" s="2" t="s">
        <v>573</v>
      </c>
      <c r="AR74" s="2" t="s">
        <v>373</v>
      </c>
      <c r="AS74" s="2" t="s">
        <v>374</v>
      </c>
      <c r="AT74" s="23" t="s">
        <v>636</v>
      </c>
      <c r="AU74" s="2" t="s">
        <v>670</v>
      </c>
      <c r="AV74" s="29">
        <v>87.7</v>
      </c>
    </row>
    <row r="75" spans="1:48" x14ac:dyDescent="0.2">
      <c r="A75" s="12" t="s">
        <v>840</v>
      </c>
      <c r="B75" s="2" t="s">
        <v>986</v>
      </c>
      <c r="C75" s="32">
        <v>134</v>
      </c>
      <c r="D75" s="45" t="s">
        <v>22</v>
      </c>
      <c r="E75" s="46">
        <v>102</v>
      </c>
      <c r="F75" s="41" t="s">
        <v>531</v>
      </c>
      <c r="G75" s="41" t="s">
        <v>43</v>
      </c>
      <c r="H75" s="2" t="s">
        <v>38</v>
      </c>
      <c r="I75" s="2">
        <v>2</v>
      </c>
      <c r="J75" s="2">
        <v>0</v>
      </c>
      <c r="K75" s="16">
        <v>2</v>
      </c>
      <c r="L75" s="16">
        <v>2</v>
      </c>
      <c r="M75" s="38">
        <v>35.01</v>
      </c>
      <c r="N75" s="38">
        <v>12.67</v>
      </c>
      <c r="O75" s="38">
        <v>4.0599999999999996</v>
      </c>
      <c r="P75" s="2">
        <v>16106</v>
      </c>
      <c r="Q75" s="2">
        <v>2919</v>
      </c>
      <c r="R75" s="2">
        <v>620</v>
      </c>
      <c r="S75" s="2">
        <v>17324</v>
      </c>
      <c r="T75" s="29">
        <v>55.33</v>
      </c>
      <c r="U75" s="2">
        <v>2389</v>
      </c>
      <c r="V75" s="21">
        <v>84</v>
      </c>
      <c r="W75" s="21">
        <v>83</v>
      </c>
      <c r="X75" s="21">
        <v>1</v>
      </c>
      <c r="Y75" s="21">
        <v>53</v>
      </c>
      <c r="Z75" s="22">
        <f t="shared" si="4"/>
        <v>53.725490196078432</v>
      </c>
      <c r="AA75" s="22">
        <f t="shared" si="5"/>
        <v>98.80952380952381</v>
      </c>
      <c r="AB75" s="29">
        <v>99.9</v>
      </c>
      <c r="AC75" s="2">
        <v>2916</v>
      </c>
      <c r="AD75" s="2">
        <v>2</v>
      </c>
      <c r="AE75" s="2">
        <v>0</v>
      </c>
      <c r="AF75" s="2">
        <v>1</v>
      </c>
      <c r="AG75" s="2">
        <v>21164</v>
      </c>
      <c r="AH75" s="2">
        <v>21113</v>
      </c>
      <c r="AI75" s="5" t="s">
        <v>356</v>
      </c>
      <c r="AJ75" s="38">
        <v>65.154487251070194</v>
      </c>
      <c r="AK75" s="29">
        <v>75.331984517834599</v>
      </c>
      <c r="AL75" s="29">
        <v>2.28333318003288</v>
      </c>
      <c r="AM75" s="29">
        <v>22.180523228361398</v>
      </c>
      <c r="AN75" s="2">
        <v>2</v>
      </c>
      <c r="AO75" s="2" t="s">
        <v>970</v>
      </c>
      <c r="AP75" s="26">
        <v>6.9332135785389977E-3</v>
      </c>
      <c r="AQ75" s="2" t="s">
        <v>357</v>
      </c>
      <c r="AR75" s="8" t="s">
        <v>55</v>
      </c>
      <c r="AS75" s="2" t="s">
        <v>358</v>
      </c>
      <c r="AU75" s="2" t="s">
        <v>677</v>
      </c>
      <c r="AV75" s="29">
        <v>89.9</v>
      </c>
    </row>
    <row r="76" spans="1:48" x14ac:dyDescent="0.2">
      <c r="A76" s="12" t="s">
        <v>540</v>
      </c>
      <c r="B76" s="2" t="s">
        <v>990</v>
      </c>
      <c r="C76" s="31">
        <v>2</v>
      </c>
      <c r="D76" s="45">
        <v>3</v>
      </c>
      <c r="E76" s="45">
        <v>15</v>
      </c>
      <c r="F76" s="41" t="s">
        <v>237</v>
      </c>
      <c r="G76" s="41" t="s">
        <v>59</v>
      </c>
      <c r="H76" s="2" t="s">
        <v>38</v>
      </c>
      <c r="I76" s="2">
        <v>4</v>
      </c>
      <c r="J76" s="2">
        <v>2</v>
      </c>
      <c r="K76" s="16">
        <v>2</v>
      </c>
      <c r="L76" s="16">
        <v>4</v>
      </c>
      <c r="M76" s="38">
        <v>26.22</v>
      </c>
      <c r="N76" s="38">
        <v>19.45</v>
      </c>
      <c r="O76" s="38">
        <v>15.33</v>
      </c>
      <c r="P76" s="2">
        <v>6594</v>
      </c>
      <c r="Q76" s="2">
        <v>2494</v>
      </c>
      <c r="R76" s="2">
        <v>1425</v>
      </c>
      <c r="S76" s="2">
        <v>63485</v>
      </c>
      <c r="T76" s="29">
        <v>39.08</v>
      </c>
      <c r="U76" s="2">
        <v>6497</v>
      </c>
      <c r="V76" s="21">
        <v>127</v>
      </c>
      <c r="W76" s="21">
        <v>124</v>
      </c>
      <c r="X76" s="21">
        <v>3</v>
      </c>
      <c r="Y76" s="21">
        <v>20</v>
      </c>
      <c r="Z76" s="22">
        <f t="shared" si="4"/>
        <v>57.647058823529413</v>
      </c>
      <c r="AA76" s="22">
        <f t="shared" si="5"/>
        <v>97.637795275590548</v>
      </c>
      <c r="AB76" s="29">
        <v>97.8</v>
      </c>
      <c r="AC76" s="2">
        <v>2438</v>
      </c>
      <c r="AD76" s="2">
        <v>41</v>
      </c>
      <c r="AE76" s="2">
        <v>5</v>
      </c>
      <c r="AF76" s="2">
        <v>10</v>
      </c>
      <c r="AG76" s="2">
        <v>12201</v>
      </c>
      <c r="AH76" s="2">
        <v>12120</v>
      </c>
      <c r="AI76" s="5" t="s">
        <v>76</v>
      </c>
      <c r="AJ76" s="38">
        <v>45.483673469387753</v>
      </c>
      <c r="AK76" s="29">
        <v>61.632519039999998</v>
      </c>
      <c r="AL76" s="29">
        <v>7.446359148</v>
      </c>
      <c r="AM76" s="29">
        <v>30.770110039999999</v>
      </c>
      <c r="AN76" s="2">
        <v>4</v>
      </c>
      <c r="AO76" s="2" t="s">
        <v>886</v>
      </c>
      <c r="AP76" s="26">
        <v>0.14096485102657519</v>
      </c>
      <c r="AQ76" s="2" t="s">
        <v>77</v>
      </c>
      <c r="AR76" s="2" t="s">
        <v>78</v>
      </c>
      <c r="AS76" s="2" t="s">
        <v>79</v>
      </c>
      <c r="AT76" s="13" t="s">
        <v>647</v>
      </c>
      <c r="AU76" s="2" t="s">
        <v>664</v>
      </c>
      <c r="AV76" s="2">
        <v>93.1</v>
      </c>
    </row>
    <row r="77" spans="1:48" x14ac:dyDescent="0.2">
      <c r="A77" s="12" t="s">
        <v>765</v>
      </c>
      <c r="B77" s="2" t="s">
        <v>990</v>
      </c>
      <c r="C77" s="32">
        <v>54</v>
      </c>
      <c r="D77" s="45" t="s">
        <v>22</v>
      </c>
      <c r="E77" s="46">
        <v>17</v>
      </c>
      <c r="F77" s="41" t="s">
        <v>753</v>
      </c>
      <c r="G77" s="41" t="s">
        <v>48</v>
      </c>
      <c r="H77" s="2" t="s">
        <v>38</v>
      </c>
      <c r="I77" s="2">
        <v>2</v>
      </c>
      <c r="J77" s="2">
        <v>0</v>
      </c>
      <c r="K77" s="16">
        <v>2</v>
      </c>
      <c r="L77" s="16">
        <v>2</v>
      </c>
      <c r="M77" s="38">
        <v>25.12</v>
      </c>
      <c r="N77" s="38">
        <v>15.5</v>
      </c>
      <c r="O77" s="38">
        <v>11.94</v>
      </c>
      <c r="P77" s="2">
        <v>7763</v>
      </c>
      <c r="Q77" s="2">
        <v>1840</v>
      </c>
      <c r="R77" s="2">
        <v>892</v>
      </c>
      <c r="S77" s="2">
        <v>90486</v>
      </c>
      <c r="T77" s="29">
        <v>46.3</v>
      </c>
      <c r="U77" s="2">
        <v>4442</v>
      </c>
      <c r="V77" s="21">
        <v>171</v>
      </c>
      <c r="W77" s="21">
        <v>167</v>
      </c>
      <c r="X77" s="21">
        <v>4</v>
      </c>
      <c r="Y77" s="21">
        <v>28</v>
      </c>
      <c r="Z77" s="22">
        <f t="shared" si="4"/>
        <v>78.039215686274517</v>
      </c>
      <c r="AA77" s="22">
        <f t="shared" si="5"/>
        <v>97.660818713450297</v>
      </c>
      <c r="AB77" s="29">
        <v>99.3</v>
      </c>
      <c r="AC77" s="2">
        <v>1828</v>
      </c>
      <c r="AD77" s="2">
        <v>9</v>
      </c>
      <c r="AE77" s="2">
        <v>0</v>
      </c>
      <c r="AF77" s="2">
        <v>3</v>
      </c>
      <c r="AG77" s="2">
        <v>13429</v>
      </c>
      <c r="AH77" s="2">
        <v>13412</v>
      </c>
      <c r="AI77" t="s">
        <v>754</v>
      </c>
      <c r="AJ77" s="38">
        <v>32.191668375192201</v>
      </c>
      <c r="AK77" s="29">
        <v>74.065795045357603</v>
      </c>
      <c r="AL77" s="29">
        <v>2.3933840976359799</v>
      </c>
      <c r="AM77" s="29">
        <v>23.3327752651441</v>
      </c>
      <c r="AN77" s="2">
        <v>2</v>
      </c>
      <c r="AO77" s="2" t="s">
        <v>924</v>
      </c>
      <c r="AP77" s="26">
        <v>0.14471663841852281</v>
      </c>
      <c r="AQ77" s="2" t="s">
        <v>755</v>
      </c>
      <c r="AR77" s="1" t="s">
        <v>756</v>
      </c>
      <c r="AS77" s="8" t="s">
        <v>55</v>
      </c>
      <c r="AU77" s="2" t="s">
        <v>696</v>
      </c>
      <c r="AV77" s="29">
        <v>87.1</v>
      </c>
    </row>
    <row r="78" spans="1:48" x14ac:dyDescent="0.2">
      <c r="A78" s="12" t="s">
        <v>821</v>
      </c>
      <c r="B78" s="2" t="s">
        <v>986</v>
      </c>
      <c r="C78" s="32">
        <v>24</v>
      </c>
      <c r="D78" s="45">
        <v>27</v>
      </c>
      <c r="E78" s="45" t="s">
        <v>22</v>
      </c>
      <c r="F78" s="41" t="s">
        <v>532</v>
      </c>
      <c r="G78" s="41" t="s">
        <v>424</v>
      </c>
      <c r="H78" s="2" t="s">
        <v>38</v>
      </c>
      <c r="I78" s="2">
        <v>2</v>
      </c>
      <c r="J78" s="2">
        <v>2</v>
      </c>
      <c r="K78" s="2">
        <v>0</v>
      </c>
      <c r="L78" s="2">
        <v>2</v>
      </c>
      <c r="M78" s="38">
        <v>29.14</v>
      </c>
      <c r="N78" s="38">
        <v>22.19</v>
      </c>
      <c r="O78" s="38">
        <v>18.2</v>
      </c>
      <c r="P78" s="2">
        <v>6856</v>
      </c>
      <c r="Q78" s="2">
        <v>2622</v>
      </c>
      <c r="R78" s="2">
        <v>1597</v>
      </c>
      <c r="S78" s="2">
        <v>46354</v>
      </c>
      <c r="T78" s="29">
        <v>62.39</v>
      </c>
      <c r="U78" s="2">
        <v>7696</v>
      </c>
      <c r="V78" s="21">
        <v>85</v>
      </c>
      <c r="W78" s="21">
        <v>80</v>
      </c>
      <c r="X78" s="21">
        <v>5</v>
      </c>
      <c r="Y78" s="21">
        <v>24</v>
      </c>
      <c r="Z78" s="22">
        <f t="shared" si="4"/>
        <v>42.745098039215684</v>
      </c>
      <c r="AA78" s="22">
        <f t="shared" si="5"/>
        <v>94.117647058823536</v>
      </c>
      <c r="AB78" s="29">
        <v>99.2</v>
      </c>
      <c r="AC78" s="2">
        <v>2602</v>
      </c>
      <c r="AD78" s="2">
        <v>18</v>
      </c>
      <c r="AE78" s="2">
        <v>1</v>
      </c>
      <c r="AF78" s="2">
        <v>1</v>
      </c>
      <c r="AG78" s="6">
        <v>14933</v>
      </c>
      <c r="AH78" s="2">
        <v>14899</v>
      </c>
      <c r="AI78" s="12" t="s">
        <v>425</v>
      </c>
      <c r="AJ78" s="38">
        <v>68.163890058479495</v>
      </c>
      <c r="AK78" s="29">
        <v>80.672965600657704</v>
      </c>
      <c r="AL78" s="29">
        <v>6.3067159463587998</v>
      </c>
      <c r="AM78" s="29">
        <v>12.839220697635399</v>
      </c>
      <c r="AN78" s="2">
        <v>1</v>
      </c>
      <c r="AO78" s="2" t="s">
        <v>902</v>
      </c>
      <c r="AP78" s="26">
        <v>0.18183848035522876</v>
      </c>
      <c r="AQ78" s="2" t="s">
        <v>585</v>
      </c>
      <c r="AR78" s="2" t="s">
        <v>426</v>
      </c>
      <c r="AS78" s="2" t="s">
        <v>427</v>
      </c>
      <c r="AT78" s="23" t="s">
        <v>639</v>
      </c>
      <c r="AU78" s="2" t="s">
        <v>677</v>
      </c>
      <c r="AV78" s="29">
        <v>91</v>
      </c>
    </row>
    <row r="79" spans="1:48" x14ac:dyDescent="0.2">
      <c r="A79" s="12" t="s">
        <v>819</v>
      </c>
      <c r="B79" s="2" t="s">
        <v>993</v>
      </c>
      <c r="C79" s="32">
        <v>16</v>
      </c>
      <c r="D79" s="45">
        <v>19</v>
      </c>
      <c r="E79" s="45">
        <v>65</v>
      </c>
      <c r="F79" s="41" t="s">
        <v>445</v>
      </c>
      <c r="G79" s="41" t="s">
        <v>137</v>
      </c>
      <c r="H79" s="2" t="s">
        <v>38</v>
      </c>
      <c r="I79" s="2">
        <v>3</v>
      </c>
      <c r="J79" s="2">
        <v>1</v>
      </c>
      <c r="K79" s="16">
        <v>2</v>
      </c>
      <c r="L79" s="2">
        <v>3</v>
      </c>
      <c r="M79" s="26">
        <v>64.86</v>
      </c>
      <c r="N79" s="26">
        <v>54.34</v>
      </c>
      <c r="O79" s="26">
        <v>47.07</v>
      </c>
      <c r="P79" s="1">
        <v>11953</v>
      </c>
      <c r="Q79" s="1">
        <v>5692</v>
      </c>
      <c r="R79" s="1">
        <v>3817</v>
      </c>
      <c r="S79" s="1">
        <v>85913</v>
      </c>
      <c r="T79" s="40">
        <v>51.55</v>
      </c>
      <c r="U79" s="1">
        <v>10114</v>
      </c>
      <c r="V79" s="21">
        <v>167</v>
      </c>
      <c r="W79" s="21">
        <v>159</v>
      </c>
      <c r="X79" s="21">
        <v>8</v>
      </c>
      <c r="Y79" s="21">
        <v>23</v>
      </c>
      <c r="Z79" s="22">
        <f t="shared" si="4"/>
        <v>74.509803921568633</v>
      </c>
      <c r="AA79" s="22">
        <f t="shared" si="5"/>
        <v>95.209580838323348</v>
      </c>
      <c r="AB79" s="40">
        <v>99.6</v>
      </c>
      <c r="AC79" s="1">
        <v>5672</v>
      </c>
      <c r="AD79" s="1">
        <v>18</v>
      </c>
      <c r="AE79" s="1">
        <v>2</v>
      </c>
      <c r="AF79" s="1">
        <v>0</v>
      </c>
      <c r="AG79" s="2">
        <v>24376</v>
      </c>
      <c r="AH79" s="2">
        <v>24344</v>
      </c>
      <c r="AI79" s="12" t="s">
        <v>446</v>
      </c>
      <c r="AJ79" s="38">
        <v>87.049099449738307</v>
      </c>
      <c r="AK79" s="29">
        <v>67.089976047591804</v>
      </c>
      <c r="AL79" s="29">
        <v>4.2737309013324696</v>
      </c>
      <c r="AM79" s="29">
        <v>28.511244261588502</v>
      </c>
      <c r="AN79" s="2">
        <v>2</v>
      </c>
      <c r="AO79" s="2" t="s">
        <v>895</v>
      </c>
      <c r="AP79" s="26">
        <v>3.3938445834558094E-2</v>
      </c>
      <c r="AQ79" s="2" t="s">
        <v>577</v>
      </c>
      <c r="AR79" s="2" t="s">
        <v>447</v>
      </c>
      <c r="AS79" s="2" t="s">
        <v>448</v>
      </c>
      <c r="AU79" s="2" t="s">
        <v>676</v>
      </c>
      <c r="AV79" s="29">
        <v>93.4</v>
      </c>
    </row>
    <row r="80" spans="1:48" x14ac:dyDescent="0.2">
      <c r="A80" s="12" t="s">
        <v>764</v>
      </c>
      <c r="B80" s="2" t="s">
        <v>990</v>
      </c>
      <c r="C80" s="32">
        <v>33</v>
      </c>
      <c r="D80" s="45">
        <v>38</v>
      </c>
      <c r="E80" s="45" t="s">
        <v>22</v>
      </c>
      <c r="F80" s="41" t="s">
        <v>514</v>
      </c>
      <c r="G80" s="41" t="s">
        <v>455</v>
      </c>
      <c r="H80" s="2" t="s">
        <v>315</v>
      </c>
      <c r="I80" s="2">
        <v>1</v>
      </c>
      <c r="J80" s="2">
        <v>1</v>
      </c>
      <c r="K80" s="2">
        <v>0</v>
      </c>
      <c r="L80" s="2" t="s">
        <v>22</v>
      </c>
      <c r="M80" s="38">
        <v>13.05</v>
      </c>
      <c r="N80" s="38">
        <v>10.28</v>
      </c>
      <c r="O80" s="38">
        <v>9.08</v>
      </c>
      <c r="P80" s="2">
        <v>2740</v>
      </c>
      <c r="Q80" s="2">
        <v>1012</v>
      </c>
      <c r="R80" s="2">
        <v>704</v>
      </c>
      <c r="S80" s="2">
        <v>48913</v>
      </c>
      <c r="T80" s="29">
        <v>50.96</v>
      </c>
      <c r="U80" s="2">
        <v>10706</v>
      </c>
      <c r="V80" s="21">
        <v>7</v>
      </c>
      <c r="W80" s="21">
        <v>7</v>
      </c>
      <c r="X80" s="21">
        <v>0</v>
      </c>
      <c r="Y80" s="21">
        <v>9</v>
      </c>
      <c r="Z80" s="22">
        <f t="shared" si="4"/>
        <v>6.2745098039215685</v>
      </c>
      <c r="AA80" s="22">
        <f t="shared" si="5"/>
        <v>100</v>
      </c>
      <c r="AB80" s="29">
        <v>98.7</v>
      </c>
      <c r="AC80" s="2">
        <v>999</v>
      </c>
      <c r="AD80" s="2">
        <v>13</v>
      </c>
      <c r="AE80" s="2">
        <v>0</v>
      </c>
      <c r="AF80" s="2">
        <v>0</v>
      </c>
      <c r="AG80" s="6">
        <v>5346</v>
      </c>
      <c r="AH80" s="2">
        <v>5299</v>
      </c>
      <c r="AI80" s="12" t="s">
        <v>479</v>
      </c>
      <c r="AJ80" s="38">
        <v>208.21221690590099</v>
      </c>
      <c r="AK80" s="29">
        <v>42.084822364864202</v>
      </c>
      <c r="AL80" s="29">
        <v>20.273857199737801</v>
      </c>
      <c r="AM80" s="29">
        <v>37.510833092172398</v>
      </c>
      <c r="AN80" s="2">
        <v>5</v>
      </c>
      <c r="AO80" s="2" t="s">
        <v>907</v>
      </c>
      <c r="AP80" s="26">
        <v>0.49564403062255646</v>
      </c>
      <c r="AQ80" s="2" t="s">
        <v>589</v>
      </c>
      <c r="AR80" s="2" t="s">
        <v>480</v>
      </c>
      <c r="AS80" s="8" t="s">
        <v>55</v>
      </c>
      <c r="AU80" s="2" t="s">
        <v>682</v>
      </c>
      <c r="AV80" s="29">
        <v>91.6</v>
      </c>
    </row>
    <row r="81" spans="1:48" x14ac:dyDescent="0.2">
      <c r="A81" s="12" t="s">
        <v>562</v>
      </c>
      <c r="B81" s="2" t="s">
        <v>987</v>
      </c>
      <c r="C81" s="32">
        <v>102</v>
      </c>
      <c r="D81" s="45" t="s">
        <v>22</v>
      </c>
      <c r="E81" s="46">
        <v>69</v>
      </c>
      <c r="F81" s="41" t="s">
        <v>620</v>
      </c>
      <c r="G81" s="41" t="s">
        <v>120</v>
      </c>
      <c r="H81" s="2" t="s">
        <v>121</v>
      </c>
      <c r="I81" s="2">
        <v>1</v>
      </c>
      <c r="J81" s="2">
        <v>0</v>
      </c>
      <c r="K81" s="2">
        <v>1</v>
      </c>
      <c r="L81" s="2" t="s">
        <v>22</v>
      </c>
      <c r="M81" s="17">
        <v>32.1</v>
      </c>
      <c r="N81" s="17">
        <v>28.04</v>
      </c>
      <c r="O81" s="17">
        <v>25.77</v>
      </c>
      <c r="P81" s="6">
        <v>4537</v>
      </c>
      <c r="Q81" s="6">
        <v>2061</v>
      </c>
      <c r="R81" s="6">
        <v>1473</v>
      </c>
      <c r="S81" s="6">
        <v>117656</v>
      </c>
      <c r="T81" s="18">
        <v>63.78</v>
      </c>
      <c r="U81" s="6">
        <v>17954</v>
      </c>
      <c r="V81" s="21">
        <v>109</v>
      </c>
      <c r="W81" s="21">
        <v>107</v>
      </c>
      <c r="X81" s="21">
        <v>2</v>
      </c>
      <c r="Y81" s="21">
        <v>18</v>
      </c>
      <c r="Z81" s="22">
        <f t="shared" si="4"/>
        <v>49.803921568627452</v>
      </c>
      <c r="AA81" s="22">
        <f t="shared" si="5"/>
        <v>98.165137614678898</v>
      </c>
      <c r="AB81" s="18">
        <v>98.6</v>
      </c>
      <c r="AC81" s="6">
        <v>2032</v>
      </c>
      <c r="AD81" s="6">
        <v>25</v>
      </c>
      <c r="AE81" s="6">
        <v>0</v>
      </c>
      <c r="AF81" s="6">
        <v>4</v>
      </c>
      <c r="AG81" s="7">
        <v>15856</v>
      </c>
      <c r="AH81" s="6">
        <v>15843</v>
      </c>
      <c r="AI81" s="5" t="s">
        <v>272</v>
      </c>
      <c r="AJ81" s="38">
        <v>64.462985943775095</v>
      </c>
      <c r="AK81" s="29">
        <v>71.756274194521595</v>
      </c>
      <c r="AL81" s="29">
        <v>2.33299100349203</v>
      </c>
      <c r="AM81" s="29">
        <v>25.750137052903</v>
      </c>
      <c r="AN81" s="2">
        <v>2</v>
      </c>
      <c r="AO81" s="39" t="s">
        <v>956</v>
      </c>
      <c r="AP81" s="26">
        <v>6.7656921680218043E-2</v>
      </c>
      <c r="AQ81" s="8" t="s">
        <v>55</v>
      </c>
      <c r="AR81" s="34" t="s">
        <v>274</v>
      </c>
      <c r="AS81" s="34" t="s">
        <v>275</v>
      </c>
      <c r="AU81" s="2" t="s">
        <v>723</v>
      </c>
      <c r="AV81" s="2">
        <v>98.2</v>
      </c>
    </row>
    <row r="82" spans="1:48" x14ac:dyDescent="0.2">
      <c r="A82" s="12" t="s">
        <v>826</v>
      </c>
      <c r="B82" s="2" t="s">
        <v>987</v>
      </c>
      <c r="C82" s="32">
        <v>110</v>
      </c>
      <c r="D82" s="45" t="s">
        <v>22</v>
      </c>
      <c r="E82" s="46">
        <v>77</v>
      </c>
      <c r="F82" s="41" t="s">
        <v>288</v>
      </c>
      <c r="G82" s="41" t="s">
        <v>120</v>
      </c>
      <c r="H82" s="2" t="s">
        <v>121</v>
      </c>
      <c r="I82" s="2">
        <v>1</v>
      </c>
      <c r="J82" s="2">
        <v>0</v>
      </c>
      <c r="K82" s="2">
        <v>1</v>
      </c>
      <c r="L82" s="2" t="s">
        <v>22</v>
      </c>
      <c r="M82" s="17">
        <v>61.3</v>
      </c>
      <c r="N82" s="17">
        <v>48.36</v>
      </c>
      <c r="O82" s="17">
        <v>41.23</v>
      </c>
      <c r="P82" s="6">
        <v>13083</v>
      </c>
      <c r="Q82" s="6">
        <v>5241</v>
      </c>
      <c r="R82" s="6">
        <v>3389</v>
      </c>
      <c r="S82" s="6">
        <v>83264</v>
      </c>
      <c r="T82" s="18">
        <v>61.6</v>
      </c>
      <c r="U82" s="6">
        <v>9197</v>
      </c>
      <c r="V82" s="21">
        <v>89</v>
      </c>
      <c r="W82" s="21">
        <v>88</v>
      </c>
      <c r="X82" s="21">
        <v>1</v>
      </c>
      <c r="Y82" s="21">
        <v>30</v>
      </c>
      <c r="Z82" s="22">
        <f t="shared" si="4"/>
        <v>46.666666666666664</v>
      </c>
      <c r="AA82" s="22">
        <f t="shared" si="5"/>
        <v>98.876404494382029</v>
      </c>
      <c r="AB82" s="18">
        <v>98.9</v>
      </c>
      <c r="AC82" s="6">
        <v>5184</v>
      </c>
      <c r="AD82" s="6">
        <v>56</v>
      </c>
      <c r="AE82" s="6">
        <v>0</v>
      </c>
      <c r="AF82" s="6">
        <v>1</v>
      </c>
      <c r="AG82" s="7">
        <v>25101</v>
      </c>
      <c r="AH82" s="6">
        <v>25060</v>
      </c>
      <c r="AI82" s="5" t="s">
        <v>289</v>
      </c>
      <c r="AJ82" s="38">
        <v>131.35418041568499</v>
      </c>
      <c r="AK82" s="29">
        <v>58.4246844966598</v>
      </c>
      <c r="AL82" s="29">
        <v>10.5904008345693</v>
      </c>
      <c r="AM82" s="29">
        <v>30.844172770936002</v>
      </c>
      <c r="AN82" s="2">
        <v>4</v>
      </c>
      <c r="AO82" s="2" t="s">
        <v>956</v>
      </c>
      <c r="AP82" s="26">
        <v>6.7656921680218043E-2</v>
      </c>
      <c r="AQ82" s="2" t="s">
        <v>273</v>
      </c>
      <c r="AR82" s="2" t="s">
        <v>274</v>
      </c>
      <c r="AS82" s="2" t="s">
        <v>275</v>
      </c>
      <c r="AU82" s="2" t="s">
        <v>728</v>
      </c>
      <c r="AV82" s="2">
        <v>98.7</v>
      </c>
    </row>
    <row r="83" spans="1:48" x14ac:dyDescent="0.2">
      <c r="A83" s="12" t="s">
        <v>877</v>
      </c>
      <c r="B83" s="2" t="s">
        <v>987</v>
      </c>
      <c r="C83" s="32">
        <v>97</v>
      </c>
      <c r="D83" s="45" t="s">
        <v>22</v>
      </c>
      <c r="E83" s="46">
        <v>63</v>
      </c>
      <c r="F83" s="41" t="s">
        <v>251</v>
      </c>
      <c r="G83" s="41" t="s">
        <v>879</v>
      </c>
      <c r="H83" s="2" t="s">
        <v>38</v>
      </c>
      <c r="I83" s="2">
        <v>1</v>
      </c>
      <c r="J83" s="2">
        <v>0</v>
      </c>
      <c r="K83" s="2">
        <v>1</v>
      </c>
      <c r="L83" s="2" t="s">
        <v>22</v>
      </c>
      <c r="M83" s="17">
        <v>19.46</v>
      </c>
      <c r="N83" s="17">
        <v>18.46</v>
      </c>
      <c r="O83" s="17">
        <v>17.850000000000001</v>
      </c>
      <c r="P83" s="6">
        <v>1481</v>
      </c>
      <c r="Q83" s="6">
        <v>887</v>
      </c>
      <c r="R83" s="6">
        <v>727</v>
      </c>
      <c r="S83" s="6">
        <v>171165</v>
      </c>
      <c r="T83" s="18">
        <v>35.909999999999997</v>
      </c>
      <c r="U83" s="6">
        <v>32667</v>
      </c>
      <c r="V83" s="21">
        <v>181</v>
      </c>
      <c r="W83" s="21">
        <v>179</v>
      </c>
      <c r="X83" s="21">
        <v>2</v>
      </c>
      <c r="Y83" s="21">
        <v>17</v>
      </c>
      <c r="Z83" s="22">
        <f t="shared" si="4"/>
        <v>77.647058823529406</v>
      </c>
      <c r="AA83" s="22">
        <f t="shared" si="5"/>
        <v>98.895027624309392</v>
      </c>
      <c r="AB83" s="18">
        <v>98.8</v>
      </c>
      <c r="AC83" s="6">
        <v>876</v>
      </c>
      <c r="AD83" s="6">
        <v>6</v>
      </c>
      <c r="AE83" s="6">
        <v>0</v>
      </c>
      <c r="AF83" s="6">
        <v>5</v>
      </c>
      <c r="AG83" s="7">
        <v>9729</v>
      </c>
      <c r="AH83" s="6">
        <v>9722</v>
      </c>
      <c r="AI83" s="5" t="s">
        <v>252</v>
      </c>
      <c r="AJ83" s="38">
        <v>25.060459755312301</v>
      </c>
      <c r="AK83" s="29">
        <v>75.042291797911801</v>
      </c>
      <c r="AL83" s="29">
        <v>4.6776149394173396</v>
      </c>
      <c r="AM83" s="29">
        <v>20.1249809411336</v>
      </c>
      <c r="AN83" s="2">
        <v>1</v>
      </c>
      <c r="AO83" s="2" t="s">
        <v>952</v>
      </c>
      <c r="AP83" s="26">
        <v>4.3853920913398629E-3</v>
      </c>
      <c r="AQ83" s="2" t="s">
        <v>253</v>
      </c>
      <c r="AR83" s="2" t="s">
        <v>254</v>
      </c>
      <c r="AS83" s="2" t="s">
        <v>255</v>
      </c>
      <c r="AU83" s="2" t="s">
        <v>722</v>
      </c>
      <c r="AV83" s="2">
        <v>99.2</v>
      </c>
    </row>
    <row r="84" spans="1:48" x14ac:dyDescent="0.2">
      <c r="A84" s="12" t="s">
        <v>789</v>
      </c>
      <c r="B84" s="2" t="s">
        <v>987</v>
      </c>
      <c r="C84" s="32">
        <v>71</v>
      </c>
      <c r="D84" s="45" t="s">
        <v>22</v>
      </c>
      <c r="E84" s="46">
        <v>36</v>
      </c>
      <c r="F84" s="41" t="s">
        <v>147</v>
      </c>
      <c r="G84" s="41" t="s">
        <v>120</v>
      </c>
      <c r="H84" s="2" t="s">
        <v>121</v>
      </c>
      <c r="I84" s="2">
        <v>1</v>
      </c>
      <c r="J84" s="2">
        <v>0</v>
      </c>
      <c r="K84" s="2">
        <v>1</v>
      </c>
      <c r="L84" s="2" t="s">
        <v>22</v>
      </c>
      <c r="M84" s="17">
        <v>28.24</v>
      </c>
      <c r="N84" s="17">
        <v>21.78</v>
      </c>
      <c r="O84" s="17">
        <v>17.850000000000001</v>
      </c>
      <c r="P84" s="6">
        <v>6517</v>
      </c>
      <c r="Q84" s="6">
        <v>2640</v>
      </c>
      <c r="R84" s="6">
        <v>1618</v>
      </c>
      <c r="S84" s="6">
        <v>55190</v>
      </c>
      <c r="T84" s="18">
        <v>59.16</v>
      </c>
      <c r="U84" s="6">
        <v>7415</v>
      </c>
      <c r="V84" s="21">
        <v>32</v>
      </c>
      <c r="W84" s="21">
        <v>31</v>
      </c>
      <c r="X84" s="21">
        <v>1</v>
      </c>
      <c r="Y84" s="21">
        <v>12</v>
      </c>
      <c r="Z84" s="22">
        <f t="shared" si="4"/>
        <v>17.254901960784313</v>
      </c>
      <c r="AA84" s="22">
        <f t="shared" si="5"/>
        <v>96.875</v>
      </c>
      <c r="AB84" s="18">
        <v>99.7</v>
      </c>
      <c r="AC84" s="6">
        <v>2631</v>
      </c>
      <c r="AD84" s="6">
        <v>9</v>
      </c>
      <c r="AE84" s="6">
        <v>0</v>
      </c>
      <c r="AF84" s="6">
        <v>0</v>
      </c>
      <c r="AG84" s="7">
        <v>10800</v>
      </c>
      <c r="AH84" s="6">
        <v>10771</v>
      </c>
      <c r="AI84" s="5" t="s">
        <v>148</v>
      </c>
      <c r="AJ84" s="38">
        <v>163.69782608695701</v>
      </c>
      <c r="AK84" s="29">
        <v>48.684399941567797</v>
      </c>
      <c r="AL84" s="29">
        <v>8.9331863676002499</v>
      </c>
      <c r="AM84" s="29">
        <v>42.264143459803499</v>
      </c>
      <c r="AN84" s="2">
        <v>5</v>
      </c>
      <c r="AO84" s="2" t="s">
        <v>934</v>
      </c>
      <c r="AP84" s="26">
        <v>0</v>
      </c>
      <c r="AQ84" s="2" t="s">
        <v>149</v>
      </c>
      <c r="AR84" s="2" t="s">
        <v>150</v>
      </c>
      <c r="AS84" s="2" t="s">
        <v>151</v>
      </c>
      <c r="AU84" s="2" t="s">
        <v>706</v>
      </c>
      <c r="AV84" s="2">
        <v>98.2</v>
      </c>
    </row>
    <row r="85" spans="1:48" x14ac:dyDescent="0.2">
      <c r="A85" s="12" t="s">
        <v>841</v>
      </c>
      <c r="B85" s="2" t="s">
        <v>987</v>
      </c>
      <c r="C85" s="32">
        <v>78</v>
      </c>
      <c r="D85" s="45" t="s">
        <v>22</v>
      </c>
      <c r="E85" s="46">
        <v>43</v>
      </c>
      <c r="F85" s="41" t="s">
        <v>179</v>
      </c>
      <c r="G85" s="41" t="s">
        <v>120</v>
      </c>
      <c r="H85" s="2" t="s">
        <v>121</v>
      </c>
      <c r="I85" s="2">
        <v>2</v>
      </c>
      <c r="J85" s="2">
        <v>0</v>
      </c>
      <c r="K85" s="16">
        <v>2</v>
      </c>
      <c r="L85" s="16">
        <v>2</v>
      </c>
      <c r="M85" s="38">
        <v>31.26</v>
      </c>
      <c r="N85" s="38">
        <v>24.46</v>
      </c>
      <c r="O85" s="38">
        <v>20.02</v>
      </c>
      <c r="P85" s="2">
        <v>7066</v>
      </c>
      <c r="Q85" s="2">
        <v>3022</v>
      </c>
      <c r="R85" s="2">
        <v>1876</v>
      </c>
      <c r="S85" s="2">
        <v>59931</v>
      </c>
      <c r="T85" s="29">
        <v>62.24</v>
      </c>
      <c r="U85" s="2">
        <v>7464</v>
      </c>
      <c r="V85" s="21">
        <v>82</v>
      </c>
      <c r="W85" s="21">
        <v>80</v>
      </c>
      <c r="X85" s="21">
        <v>2</v>
      </c>
      <c r="Y85" s="21">
        <v>19</v>
      </c>
      <c r="Z85" s="22">
        <f t="shared" si="4"/>
        <v>39.607843137254903</v>
      </c>
      <c r="AA85" s="22">
        <f t="shared" si="5"/>
        <v>97.560975609756099</v>
      </c>
      <c r="AB85" s="29">
        <v>99.2</v>
      </c>
      <c r="AC85" s="2">
        <v>2997</v>
      </c>
      <c r="AD85" s="2">
        <v>17</v>
      </c>
      <c r="AE85" s="2">
        <v>1</v>
      </c>
      <c r="AF85" s="2">
        <v>7</v>
      </c>
      <c r="AG85" s="2">
        <v>16469</v>
      </c>
      <c r="AH85" s="2">
        <v>16413</v>
      </c>
      <c r="AI85" s="5" t="s">
        <v>180</v>
      </c>
      <c r="AJ85" s="38">
        <v>78.908588740217098</v>
      </c>
      <c r="AK85" s="29">
        <v>67.050078430514404</v>
      </c>
      <c r="AL85" s="29">
        <v>5.1552466027627899</v>
      </c>
      <c r="AM85" s="29">
        <v>27.611092405185001</v>
      </c>
      <c r="AN85" s="2">
        <v>2</v>
      </c>
      <c r="AO85" s="2" t="s">
        <v>939</v>
      </c>
      <c r="AP85" s="26">
        <v>8.0305307102939878E-3</v>
      </c>
      <c r="AQ85" s="2" t="s">
        <v>181</v>
      </c>
      <c r="AR85" s="8" t="s">
        <v>55</v>
      </c>
      <c r="AS85" s="2" t="s">
        <v>182</v>
      </c>
      <c r="AU85" s="2" t="s">
        <v>711</v>
      </c>
      <c r="AV85" s="2">
        <v>96</v>
      </c>
    </row>
    <row r="86" spans="1:48" x14ac:dyDescent="0.2">
      <c r="A86" s="12" t="s">
        <v>828</v>
      </c>
      <c r="B86" s="2" t="s">
        <v>990</v>
      </c>
      <c r="C86" s="32">
        <v>44</v>
      </c>
      <c r="D86" s="45" t="s">
        <v>22</v>
      </c>
      <c r="E86" s="46">
        <v>6</v>
      </c>
      <c r="F86" s="41" t="s">
        <v>603</v>
      </c>
      <c r="G86" s="41" t="s">
        <v>48</v>
      </c>
      <c r="H86" s="2" t="s">
        <v>38</v>
      </c>
      <c r="I86" s="2">
        <v>1</v>
      </c>
      <c r="J86" s="2">
        <v>0</v>
      </c>
      <c r="K86" s="2">
        <v>1</v>
      </c>
      <c r="L86" s="2" t="s">
        <v>22</v>
      </c>
      <c r="M86" s="17">
        <v>10.36</v>
      </c>
      <c r="N86" s="17">
        <v>8.86</v>
      </c>
      <c r="O86" s="17">
        <v>8.0500000000000007</v>
      </c>
      <c r="P86" s="6">
        <v>1664</v>
      </c>
      <c r="Q86" s="6">
        <v>754</v>
      </c>
      <c r="R86" s="6">
        <v>544</v>
      </c>
      <c r="S86" s="6">
        <v>60197</v>
      </c>
      <c r="T86" s="18">
        <v>51.36</v>
      </c>
      <c r="U86" s="6">
        <v>14430</v>
      </c>
      <c r="V86" s="21">
        <v>76</v>
      </c>
      <c r="W86" s="21">
        <v>75</v>
      </c>
      <c r="X86" s="21">
        <v>1</v>
      </c>
      <c r="Y86" s="21">
        <v>15</v>
      </c>
      <c r="Z86" s="22">
        <f t="shared" si="4"/>
        <v>35.686274509803923</v>
      </c>
      <c r="AA86" s="22">
        <f t="shared" si="5"/>
        <v>98.684210526315795</v>
      </c>
      <c r="AB86" s="18">
        <v>99.9</v>
      </c>
      <c r="AC86" s="6">
        <v>753</v>
      </c>
      <c r="AD86" s="6">
        <v>1</v>
      </c>
      <c r="AE86" s="6">
        <v>0</v>
      </c>
      <c r="AF86" s="6">
        <v>0</v>
      </c>
      <c r="AG86" s="7">
        <v>5671</v>
      </c>
      <c r="AH86" s="6">
        <v>5667</v>
      </c>
      <c r="AI86" s="5" t="s">
        <v>49</v>
      </c>
      <c r="AJ86" s="38">
        <v>29.033056878677499</v>
      </c>
      <c r="AK86" s="29">
        <v>80.210054181193399</v>
      </c>
      <c r="AL86" s="29">
        <v>2.2053488656228799</v>
      </c>
      <c r="AM86" s="29">
        <v>17.410787097112902</v>
      </c>
      <c r="AN86" s="2">
        <v>1</v>
      </c>
      <c r="AO86" s="2" t="s">
        <v>918</v>
      </c>
      <c r="AP86" s="26">
        <v>0.17361602112801716</v>
      </c>
      <c r="AQ86" s="2" t="s">
        <v>50</v>
      </c>
      <c r="AR86" s="2" t="s">
        <v>51</v>
      </c>
      <c r="AS86" s="2" t="s">
        <v>52</v>
      </c>
      <c r="AU86" s="2" t="s">
        <v>694</v>
      </c>
      <c r="AV86" s="2">
        <v>89</v>
      </c>
    </row>
    <row r="87" spans="1:48" x14ac:dyDescent="0.2">
      <c r="A87" s="12" t="s">
        <v>874</v>
      </c>
      <c r="B87" s="2" t="s">
        <v>987</v>
      </c>
      <c r="C87" s="32">
        <v>68</v>
      </c>
      <c r="D87" s="45" t="s">
        <v>22</v>
      </c>
      <c r="E87" s="46">
        <v>33</v>
      </c>
      <c r="F87" s="41" t="s">
        <v>608</v>
      </c>
      <c r="G87" s="41" t="s">
        <v>879</v>
      </c>
      <c r="H87" s="2" t="s">
        <v>38</v>
      </c>
      <c r="I87" s="2">
        <v>2</v>
      </c>
      <c r="J87" s="2">
        <v>0</v>
      </c>
      <c r="K87" s="16">
        <v>2</v>
      </c>
      <c r="L87" s="16">
        <v>2</v>
      </c>
      <c r="M87" s="38">
        <v>27.93</v>
      </c>
      <c r="N87" s="38">
        <v>26.83</v>
      </c>
      <c r="O87" s="38">
        <v>26.24</v>
      </c>
      <c r="P87" s="2">
        <v>1466</v>
      </c>
      <c r="Q87" s="2">
        <v>791</v>
      </c>
      <c r="R87" s="2">
        <v>636</v>
      </c>
      <c r="S87" s="2">
        <v>301811</v>
      </c>
      <c r="T87" s="29">
        <v>46.28</v>
      </c>
      <c r="U87" s="2">
        <v>65020</v>
      </c>
      <c r="V87" s="21">
        <v>195</v>
      </c>
      <c r="W87" s="21">
        <v>191</v>
      </c>
      <c r="X87" s="21">
        <v>4</v>
      </c>
      <c r="Y87" s="21">
        <v>10</v>
      </c>
      <c r="Z87" s="22">
        <f t="shared" si="4"/>
        <v>80.392156862745097</v>
      </c>
      <c r="AA87" s="22">
        <f t="shared" si="5"/>
        <v>97.948717948717942</v>
      </c>
      <c r="AB87" s="29">
        <v>98.9</v>
      </c>
      <c r="AC87" s="2">
        <v>782</v>
      </c>
      <c r="AD87" s="2">
        <v>0</v>
      </c>
      <c r="AE87" s="2">
        <v>0</v>
      </c>
      <c r="AF87" s="2">
        <v>9</v>
      </c>
      <c r="AG87" s="2">
        <v>13111</v>
      </c>
      <c r="AH87" s="2">
        <v>13110</v>
      </c>
      <c r="AI87" s="5" t="s">
        <v>133</v>
      </c>
      <c r="AJ87" s="38">
        <v>34.748404030351999</v>
      </c>
      <c r="AK87" s="29">
        <v>69.653248511271599</v>
      </c>
      <c r="AL87" s="29">
        <v>3.1652299711587002</v>
      </c>
      <c r="AM87" s="29">
        <v>27.0407158354252</v>
      </c>
      <c r="AN87" s="2">
        <v>2</v>
      </c>
      <c r="AO87" s="2" t="s">
        <v>931</v>
      </c>
      <c r="AP87" s="26">
        <v>8.4876843327737442E-2</v>
      </c>
      <c r="AQ87" s="2" t="s">
        <v>134</v>
      </c>
      <c r="AR87" s="8" t="s">
        <v>55</v>
      </c>
      <c r="AS87" s="2" t="s">
        <v>135</v>
      </c>
      <c r="AU87" s="2" t="s">
        <v>703</v>
      </c>
      <c r="AV87" s="29">
        <v>99.9</v>
      </c>
    </row>
    <row r="88" spans="1:48" x14ac:dyDescent="0.2">
      <c r="A88" s="12" t="s">
        <v>825</v>
      </c>
      <c r="B88" s="2" t="s">
        <v>987</v>
      </c>
      <c r="C88" s="32">
        <v>91</v>
      </c>
      <c r="D88" s="45" t="s">
        <v>22</v>
      </c>
      <c r="E88" s="46">
        <v>57</v>
      </c>
      <c r="F88" s="41" t="s">
        <v>614</v>
      </c>
      <c r="G88" s="41" t="s">
        <v>232</v>
      </c>
      <c r="H88" s="2" t="s">
        <v>38</v>
      </c>
      <c r="I88" s="2">
        <v>3</v>
      </c>
      <c r="J88" s="2">
        <v>0</v>
      </c>
      <c r="K88" s="16">
        <v>3</v>
      </c>
      <c r="L88" s="16">
        <v>3</v>
      </c>
      <c r="M88" s="38">
        <v>21.37</v>
      </c>
      <c r="N88" s="38">
        <v>14.75</v>
      </c>
      <c r="O88" s="38">
        <v>11.19</v>
      </c>
      <c r="P88" s="2">
        <v>6041</v>
      </c>
      <c r="Q88" s="2">
        <v>2053</v>
      </c>
      <c r="R88" s="2">
        <v>1129</v>
      </c>
      <c r="S88" s="2">
        <v>56785</v>
      </c>
      <c r="T88" s="29">
        <v>51.62</v>
      </c>
      <c r="U88" s="2">
        <v>5376</v>
      </c>
      <c r="V88" s="21">
        <v>120</v>
      </c>
      <c r="W88" s="21">
        <v>119</v>
      </c>
      <c r="X88" s="21">
        <v>1</v>
      </c>
      <c r="Y88" s="21">
        <v>26</v>
      </c>
      <c r="Z88" s="22">
        <f t="shared" si="4"/>
        <v>57.254901960784316</v>
      </c>
      <c r="AA88" s="22">
        <f t="shared" si="5"/>
        <v>99.166666666666671</v>
      </c>
      <c r="AB88" s="29">
        <v>99</v>
      </c>
      <c r="AC88" s="2">
        <v>2033</v>
      </c>
      <c r="AD88" s="2">
        <v>7</v>
      </c>
      <c r="AE88" s="2">
        <v>0</v>
      </c>
      <c r="AF88" s="2">
        <v>13</v>
      </c>
      <c r="AG88" s="2">
        <v>11076</v>
      </c>
      <c r="AH88" s="2">
        <v>11065</v>
      </c>
      <c r="AI88" s="5" t="s">
        <v>233</v>
      </c>
      <c r="AJ88" s="38">
        <v>37.322651528384299</v>
      </c>
      <c r="AK88" s="29">
        <v>75.338651948044898</v>
      </c>
      <c r="AL88" s="29">
        <v>3.7882376638830602</v>
      </c>
      <c r="AM88" s="29">
        <v>20.6802448498443</v>
      </c>
      <c r="AN88" s="2">
        <v>1</v>
      </c>
      <c r="AO88" s="2" t="s">
        <v>949</v>
      </c>
      <c r="AP88" s="26">
        <v>0.12231588026059405</v>
      </c>
      <c r="AQ88" s="2" t="s">
        <v>234</v>
      </c>
      <c r="AR88" s="2" t="s">
        <v>235</v>
      </c>
      <c r="AS88" s="2" t="s">
        <v>236</v>
      </c>
      <c r="AU88" s="2" t="s">
        <v>719</v>
      </c>
      <c r="AV88" s="29">
        <v>99.7</v>
      </c>
    </row>
    <row r="89" spans="1:48" x14ac:dyDescent="0.2">
      <c r="A89" s="12" t="s">
        <v>827</v>
      </c>
      <c r="B89" s="2" t="s">
        <v>990</v>
      </c>
      <c r="C89" s="31">
        <v>11</v>
      </c>
      <c r="D89" s="45">
        <v>12</v>
      </c>
      <c r="E89" s="45" t="s">
        <v>22</v>
      </c>
      <c r="F89" s="41" t="s">
        <v>410</v>
      </c>
      <c r="G89" s="41" t="s">
        <v>20</v>
      </c>
      <c r="H89" s="2" t="s">
        <v>21</v>
      </c>
      <c r="I89" s="2">
        <v>5</v>
      </c>
      <c r="J89" s="2">
        <v>5</v>
      </c>
      <c r="K89" s="2">
        <v>0</v>
      </c>
      <c r="L89" s="2">
        <v>5</v>
      </c>
      <c r="M89" s="38">
        <v>28.79</v>
      </c>
      <c r="N89" s="38">
        <v>20.29</v>
      </c>
      <c r="O89" s="38">
        <v>15.93</v>
      </c>
      <c r="P89" s="2">
        <v>7886</v>
      </c>
      <c r="Q89" s="2">
        <v>2681</v>
      </c>
      <c r="R89" s="2">
        <v>1551</v>
      </c>
      <c r="S89" s="2">
        <v>42900</v>
      </c>
      <c r="T89" s="29">
        <v>55.91</v>
      </c>
      <c r="U89" s="2">
        <v>5880</v>
      </c>
      <c r="V89" s="21">
        <v>25</v>
      </c>
      <c r="W89" s="21">
        <v>25</v>
      </c>
      <c r="X89" s="21">
        <v>0</v>
      </c>
      <c r="Y89" s="21">
        <v>23</v>
      </c>
      <c r="Z89" s="22">
        <f t="shared" si="4"/>
        <v>18.823529411764707</v>
      </c>
      <c r="AA89" s="22">
        <f t="shared" si="5"/>
        <v>100</v>
      </c>
      <c r="AB89" s="29">
        <v>99.8</v>
      </c>
      <c r="AC89" s="2">
        <v>2676</v>
      </c>
      <c r="AD89" s="2">
        <v>3</v>
      </c>
      <c r="AE89" s="2">
        <v>2</v>
      </c>
      <c r="AF89" s="2">
        <v>0</v>
      </c>
      <c r="AG89" s="6">
        <v>11646</v>
      </c>
      <c r="AH89" s="2">
        <v>11529</v>
      </c>
      <c r="AI89" s="12" t="s">
        <v>411</v>
      </c>
      <c r="AJ89" s="38">
        <v>152.96335281615299</v>
      </c>
      <c r="AK89" s="29">
        <v>46.4857408039815</v>
      </c>
      <c r="AL89" s="29">
        <v>21.125673000030599</v>
      </c>
      <c r="AM89" s="29">
        <v>32.260284886223801</v>
      </c>
      <c r="AN89" s="2">
        <v>5</v>
      </c>
      <c r="AO89" s="2" t="s">
        <v>892</v>
      </c>
      <c r="AP89" s="26">
        <v>0.18206047874954184</v>
      </c>
      <c r="AQ89" s="2" t="s">
        <v>574</v>
      </c>
      <c r="AR89" s="2" t="s">
        <v>412</v>
      </c>
      <c r="AS89" s="2" t="s">
        <v>413</v>
      </c>
      <c r="AU89" s="2" t="s">
        <v>671</v>
      </c>
      <c r="AV89" s="2">
        <v>87.1</v>
      </c>
    </row>
    <row r="90" spans="1:48" x14ac:dyDescent="0.2">
      <c r="A90" s="12" t="s">
        <v>767</v>
      </c>
      <c r="B90" s="2" t="s">
        <v>990</v>
      </c>
      <c r="C90" s="32">
        <v>45</v>
      </c>
      <c r="D90" s="45" t="s">
        <v>22</v>
      </c>
      <c r="E90" s="46">
        <v>7</v>
      </c>
      <c r="F90" s="41" t="s">
        <v>650</v>
      </c>
      <c r="G90" s="41" t="s">
        <v>37</v>
      </c>
      <c r="H90" s="2" t="s">
        <v>38</v>
      </c>
      <c r="I90" s="2">
        <v>2</v>
      </c>
      <c r="J90" s="2">
        <v>0</v>
      </c>
      <c r="K90" s="16">
        <v>2</v>
      </c>
      <c r="L90" s="16">
        <v>2</v>
      </c>
      <c r="M90" s="38">
        <v>41.11</v>
      </c>
      <c r="N90" s="38">
        <v>31.47</v>
      </c>
      <c r="O90" s="38">
        <v>26.35</v>
      </c>
      <c r="P90" s="2">
        <v>8960</v>
      </c>
      <c r="Q90" s="2">
        <v>3284</v>
      </c>
      <c r="R90" s="2">
        <v>1940</v>
      </c>
      <c r="S90" s="2">
        <v>99593</v>
      </c>
      <c r="T90" s="29">
        <v>40.549999999999997</v>
      </c>
      <c r="U90" s="2">
        <v>8862</v>
      </c>
      <c r="V90" s="21">
        <v>184</v>
      </c>
      <c r="W90" s="21">
        <v>183</v>
      </c>
      <c r="X90" s="21">
        <v>1</v>
      </c>
      <c r="Y90" s="21">
        <v>22</v>
      </c>
      <c r="Z90" s="22">
        <f t="shared" si="4"/>
        <v>80.784313725490193</v>
      </c>
      <c r="AA90" s="22">
        <f t="shared" si="5"/>
        <v>99.456521739130437</v>
      </c>
      <c r="AB90" s="29">
        <v>99.3</v>
      </c>
      <c r="AC90" s="2">
        <v>3262</v>
      </c>
      <c r="AD90" s="2">
        <v>22</v>
      </c>
      <c r="AE90" s="2">
        <v>0</v>
      </c>
      <c r="AF90" s="2">
        <v>0</v>
      </c>
      <c r="AG90" s="2">
        <v>16830</v>
      </c>
      <c r="AH90" s="2">
        <v>16810</v>
      </c>
      <c r="AI90" s="5" t="s">
        <v>53</v>
      </c>
      <c r="AJ90" s="38">
        <v>50.8911327061154</v>
      </c>
      <c r="AK90" s="29">
        <v>61.3161607446117</v>
      </c>
      <c r="AL90" s="29">
        <v>3.7127932602635898</v>
      </c>
      <c r="AM90" s="29">
        <v>34.838520601032499</v>
      </c>
      <c r="AN90" s="2">
        <v>4</v>
      </c>
      <c r="AO90" s="2" t="s">
        <v>919</v>
      </c>
      <c r="AP90" s="26">
        <v>7.2822334522971944E-3</v>
      </c>
      <c r="AQ90" s="2" t="s">
        <v>54</v>
      </c>
      <c r="AR90" s="8" t="s">
        <v>55</v>
      </c>
      <c r="AS90" s="8" t="s">
        <v>55</v>
      </c>
      <c r="AU90" s="2" t="s">
        <v>667</v>
      </c>
      <c r="AV90" s="29">
        <v>91.2</v>
      </c>
    </row>
    <row r="91" spans="1:48" x14ac:dyDescent="0.2">
      <c r="A91" s="12" t="s">
        <v>842</v>
      </c>
      <c r="B91" s="2" t="s">
        <v>986</v>
      </c>
      <c r="C91" s="32">
        <v>135</v>
      </c>
      <c r="D91" s="45" t="s">
        <v>22</v>
      </c>
      <c r="E91" s="46">
        <v>103</v>
      </c>
      <c r="F91" s="41" t="s">
        <v>359</v>
      </c>
      <c r="G91" s="41" t="s">
        <v>57</v>
      </c>
      <c r="H91" s="2" t="s">
        <v>21</v>
      </c>
      <c r="I91" s="2">
        <v>1</v>
      </c>
      <c r="J91" s="2">
        <v>0</v>
      </c>
      <c r="K91" s="2">
        <v>1</v>
      </c>
      <c r="L91" s="2" t="s">
        <v>22</v>
      </c>
      <c r="M91" s="17">
        <v>3.52</v>
      </c>
      <c r="N91" s="17">
        <v>0.16</v>
      </c>
      <c r="O91" s="17">
        <v>0.01</v>
      </c>
      <c r="P91" s="6">
        <v>2618</v>
      </c>
      <c r="Q91" s="6">
        <v>42</v>
      </c>
      <c r="R91" s="6">
        <v>2</v>
      </c>
      <c r="S91" s="6">
        <v>5727</v>
      </c>
      <c r="T91" s="18">
        <v>50.74</v>
      </c>
      <c r="U91" s="6">
        <v>1262</v>
      </c>
      <c r="V91" s="21">
        <v>1</v>
      </c>
      <c r="W91" s="21">
        <v>1</v>
      </c>
      <c r="X91" s="21">
        <v>0</v>
      </c>
      <c r="Y91" s="21">
        <v>3</v>
      </c>
      <c r="Z91" s="22">
        <f t="shared" si="4"/>
        <v>1.5686274509803921</v>
      </c>
      <c r="AA91" s="22">
        <f t="shared" si="5"/>
        <v>100</v>
      </c>
      <c r="AB91" s="18">
        <v>100</v>
      </c>
      <c r="AC91" s="6">
        <v>42</v>
      </c>
      <c r="AD91" s="6">
        <v>0</v>
      </c>
      <c r="AE91" s="6">
        <v>0</v>
      </c>
      <c r="AF91" s="6">
        <v>0</v>
      </c>
      <c r="AG91" s="6">
        <v>2385</v>
      </c>
      <c r="AH91" s="6">
        <v>2368</v>
      </c>
      <c r="AI91" s="5" t="s">
        <v>360</v>
      </c>
      <c r="AJ91" s="38">
        <v>224.185286624204</v>
      </c>
      <c r="AK91" s="29">
        <v>49.325185690067002</v>
      </c>
      <c r="AL91" s="29">
        <v>6.8222117226168404</v>
      </c>
      <c r="AM91" s="29">
        <v>43.450864830018602</v>
      </c>
      <c r="AN91" s="2">
        <v>5</v>
      </c>
      <c r="AO91" s="2" t="s">
        <v>971</v>
      </c>
      <c r="AP91" s="26">
        <v>6.02623364002043E-2</v>
      </c>
      <c r="AQ91" s="2" t="s">
        <v>361</v>
      </c>
      <c r="AR91" s="8" t="s">
        <v>55</v>
      </c>
      <c r="AS91" s="2" t="s">
        <v>362</v>
      </c>
      <c r="AU91" s="2" t="s">
        <v>671</v>
      </c>
      <c r="AV91" s="2">
        <v>98.7</v>
      </c>
    </row>
    <row r="92" spans="1:48" x14ac:dyDescent="0.2">
      <c r="A92" s="12" t="s">
        <v>829</v>
      </c>
      <c r="B92" s="2" t="s">
        <v>990</v>
      </c>
      <c r="C92" s="32">
        <v>21</v>
      </c>
      <c r="D92" s="45">
        <v>24</v>
      </c>
      <c r="E92" s="45" t="s">
        <v>22</v>
      </c>
      <c r="F92" s="41" t="s">
        <v>508</v>
      </c>
      <c r="G92" s="41" t="s">
        <v>431</v>
      </c>
      <c r="H92" s="2" t="s">
        <v>315</v>
      </c>
      <c r="I92" s="2">
        <v>1</v>
      </c>
      <c r="J92" s="2">
        <v>1</v>
      </c>
      <c r="K92" s="2">
        <v>0</v>
      </c>
      <c r="L92" s="2" t="s">
        <v>22</v>
      </c>
      <c r="M92" s="38">
        <v>18.23</v>
      </c>
      <c r="N92" s="38">
        <v>15.04</v>
      </c>
      <c r="O92" s="38">
        <v>13.81</v>
      </c>
      <c r="P92" s="2">
        <v>3164</v>
      </c>
      <c r="Q92" s="2">
        <v>1204</v>
      </c>
      <c r="R92" s="2">
        <v>883</v>
      </c>
      <c r="S92" s="2">
        <v>64312</v>
      </c>
      <c r="T92" s="29">
        <v>38.08</v>
      </c>
      <c r="U92" s="2">
        <v>14947</v>
      </c>
      <c r="V92" s="21">
        <v>50</v>
      </c>
      <c r="W92" s="21">
        <v>49</v>
      </c>
      <c r="X92" s="21">
        <v>1</v>
      </c>
      <c r="Y92" s="21">
        <v>16</v>
      </c>
      <c r="Z92" s="22">
        <f t="shared" si="4"/>
        <v>25.882352941176471</v>
      </c>
      <c r="AA92" s="22">
        <f t="shared" si="5"/>
        <v>98</v>
      </c>
      <c r="AB92" s="29">
        <v>88.9</v>
      </c>
      <c r="AC92" s="2">
        <v>1070</v>
      </c>
      <c r="AD92" s="2">
        <v>69</v>
      </c>
      <c r="AE92" s="2">
        <v>0</v>
      </c>
      <c r="AF92" s="2">
        <v>65</v>
      </c>
      <c r="AG92" s="6">
        <v>7746</v>
      </c>
      <c r="AH92" s="2">
        <v>7639</v>
      </c>
      <c r="AI92" s="12" t="s">
        <v>459</v>
      </c>
      <c r="AJ92" s="38">
        <v>70.433473724884095</v>
      </c>
      <c r="AK92" s="29">
        <v>58.654436374706101</v>
      </c>
      <c r="AL92" s="29">
        <v>17.7548799021822</v>
      </c>
      <c r="AM92" s="29">
        <v>23.446774700473402</v>
      </c>
      <c r="AN92" s="2">
        <v>3</v>
      </c>
      <c r="AO92" s="2" t="s">
        <v>899</v>
      </c>
      <c r="AP92" s="26">
        <v>0.888329005306013</v>
      </c>
      <c r="AQ92" s="2" t="s">
        <v>582</v>
      </c>
      <c r="AR92" s="2" t="s">
        <v>460</v>
      </c>
      <c r="AS92" s="2" t="s">
        <v>461</v>
      </c>
      <c r="AU92" s="2" t="s">
        <v>681</v>
      </c>
      <c r="AV92" s="29">
        <v>87.7</v>
      </c>
    </row>
    <row r="93" spans="1:48" x14ac:dyDescent="0.2">
      <c r="A93" s="12" t="s">
        <v>831</v>
      </c>
      <c r="B93" s="2" t="s">
        <v>990</v>
      </c>
      <c r="C93" s="31">
        <v>9</v>
      </c>
      <c r="D93" s="45">
        <v>10</v>
      </c>
      <c r="E93" s="45" t="s">
        <v>22</v>
      </c>
      <c r="F93" s="41" t="s">
        <v>536</v>
      </c>
      <c r="G93" s="41" t="s">
        <v>48</v>
      </c>
      <c r="H93" s="2" t="s">
        <v>38</v>
      </c>
      <c r="I93" s="2">
        <v>1</v>
      </c>
      <c r="J93" s="2">
        <v>1</v>
      </c>
      <c r="K93" s="2">
        <v>0</v>
      </c>
      <c r="L93" s="2" t="s">
        <v>22</v>
      </c>
      <c r="M93" s="38">
        <v>3.76</v>
      </c>
      <c r="N93" s="38">
        <v>2.84</v>
      </c>
      <c r="O93" s="38">
        <v>2.38</v>
      </c>
      <c r="P93" s="2">
        <v>908</v>
      </c>
      <c r="Q93" s="2">
        <v>327</v>
      </c>
      <c r="R93" s="2">
        <v>209</v>
      </c>
      <c r="S93" s="2">
        <v>40693</v>
      </c>
      <c r="T93" s="29">
        <v>47.18</v>
      </c>
      <c r="U93" s="2">
        <v>7895</v>
      </c>
      <c r="V93" s="21">
        <v>26</v>
      </c>
      <c r="W93" s="21">
        <v>26</v>
      </c>
      <c r="X93" s="21">
        <v>0</v>
      </c>
      <c r="Y93" s="21">
        <v>7</v>
      </c>
      <c r="Z93" s="22">
        <f t="shared" si="4"/>
        <v>12.941176470588236</v>
      </c>
      <c r="AA93" s="22">
        <f t="shared" si="5"/>
        <v>100</v>
      </c>
      <c r="AB93" s="29">
        <v>99.7</v>
      </c>
      <c r="AC93" s="2">
        <v>326</v>
      </c>
      <c r="AD93" s="2">
        <v>1</v>
      </c>
      <c r="AE93" s="2">
        <v>0</v>
      </c>
      <c r="AF93" s="2">
        <v>0</v>
      </c>
      <c r="AG93" s="6">
        <v>2046</v>
      </c>
      <c r="AH93" s="2">
        <v>2033</v>
      </c>
      <c r="AI93" s="12" t="s">
        <v>439</v>
      </c>
      <c r="AJ93" s="38">
        <v>29.022364760432801</v>
      </c>
      <c r="AK93" s="29">
        <v>72.091261495824497</v>
      </c>
      <c r="AL93" s="29">
        <v>3.2967167568367799</v>
      </c>
      <c r="AM93" s="29">
        <v>24.368857998441701</v>
      </c>
      <c r="AN93" s="2">
        <v>2</v>
      </c>
      <c r="AO93" s="2" t="s">
        <v>134</v>
      </c>
      <c r="AP93" s="26">
        <v>0.12043539953906562</v>
      </c>
      <c r="AQ93" s="2" t="s">
        <v>572</v>
      </c>
      <c r="AR93" s="2" t="s">
        <v>440</v>
      </c>
      <c r="AS93" s="2" t="s">
        <v>441</v>
      </c>
      <c r="AU93" s="2" t="s">
        <v>669</v>
      </c>
      <c r="AV93" s="29">
        <v>92.2</v>
      </c>
    </row>
    <row r="94" spans="1:48" x14ac:dyDescent="0.2">
      <c r="A94" s="12" t="s">
        <v>824</v>
      </c>
      <c r="B94" s="2" t="s">
        <v>990</v>
      </c>
      <c r="C94" s="32">
        <v>51</v>
      </c>
      <c r="D94" s="45" t="s">
        <v>22</v>
      </c>
      <c r="E94" s="46">
        <v>13</v>
      </c>
      <c r="F94" s="41" t="s">
        <v>523</v>
      </c>
      <c r="G94" s="41" t="s">
        <v>37</v>
      </c>
      <c r="H94" s="2" t="s">
        <v>38</v>
      </c>
      <c r="I94" s="2">
        <v>2</v>
      </c>
      <c r="J94" s="2">
        <v>0</v>
      </c>
      <c r="K94" s="16">
        <v>2</v>
      </c>
      <c r="L94" s="16">
        <v>2</v>
      </c>
      <c r="M94" s="38">
        <v>16.55</v>
      </c>
      <c r="N94" s="38">
        <v>14.01</v>
      </c>
      <c r="O94" s="38">
        <v>12.81</v>
      </c>
      <c r="P94" s="2">
        <v>2629</v>
      </c>
      <c r="Q94" s="2">
        <v>1048</v>
      </c>
      <c r="R94" s="2">
        <v>738</v>
      </c>
      <c r="S94" s="2">
        <v>126202</v>
      </c>
      <c r="T94" s="29">
        <v>55.85</v>
      </c>
      <c r="U94" s="2">
        <v>16939</v>
      </c>
      <c r="V94" s="21">
        <v>67</v>
      </c>
      <c r="W94" s="21">
        <v>66</v>
      </c>
      <c r="X94" s="21">
        <v>1</v>
      </c>
      <c r="Y94" s="21">
        <v>11</v>
      </c>
      <c r="Z94" s="22">
        <f t="shared" si="4"/>
        <v>30.588235294117649</v>
      </c>
      <c r="AA94" s="22">
        <f t="shared" si="5"/>
        <v>98.507462686567166</v>
      </c>
      <c r="AB94" s="29">
        <v>98.8</v>
      </c>
      <c r="AC94" s="2">
        <v>1035</v>
      </c>
      <c r="AD94" s="2">
        <v>13</v>
      </c>
      <c r="AE94" s="2">
        <v>0</v>
      </c>
      <c r="AF94" s="2">
        <v>0</v>
      </c>
      <c r="AG94" s="2">
        <v>6532</v>
      </c>
      <c r="AH94" s="2">
        <v>6530</v>
      </c>
      <c r="AI94" s="5" t="s">
        <v>69</v>
      </c>
      <c r="AJ94" s="38">
        <v>54.087224583197099</v>
      </c>
      <c r="AK94" s="29">
        <v>86.564913187940803</v>
      </c>
      <c r="AL94" s="29">
        <v>2.0984592465695102</v>
      </c>
      <c r="AM94" s="29">
        <v>11.2001113066553</v>
      </c>
      <c r="AN94" s="2">
        <v>1</v>
      </c>
      <c r="AO94" s="2" t="s">
        <v>921</v>
      </c>
      <c r="AP94" s="26">
        <v>8.1563667675326024E-2</v>
      </c>
      <c r="AQ94" s="2" t="s">
        <v>70</v>
      </c>
      <c r="AR94" s="2" t="s">
        <v>71</v>
      </c>
      <c r="AS94" s="2" t="s">
        <v>72</v>
      </c>
      <c r="AU94" s="2" t="s">
        <v>696</v>
      </c>
      <c r="AV94" s="29">
        <v>89.9</v>
      </c>
    </row>
    <row r="95" spans="1:48" x14ac:dyDescent="0.2">
      <c r="A95" s="12" t="s">
        <v>550</v>
      </c>
      <c r="B95" s="2" t="s">
        <v>987</v>
      </c>
      <c r="C95" s="32">
        <v>114</v>
      </c>
      <c r="D95" s="45" t="s">
        <v>22</v>
      </c>
      <c r="E95" s="46">
        <v>81</v>
      </c>
      <c r="F95" s="41" t="s">
        <v>296</v>
      </c>
      <c r="G95" s="41" t="s">
        <v>120</v>
      </c>
      <c r="H95" s="2" t="s">
        <v>121</v>
      </c>
      <c r="I95" s="2">
        <v>1</v>
      </c>
      <c r="J95" s="2">
        <v>0</v>
      </c>
      <c r="K95" s="2">
        <v>1</v>
      </c>
      <c r="L95" s="2" t="s">
        <v>22</v>
      </c>
      <c r="M95" s="17">
        <v>34.56</v>
      </c>
      <c r="N95" s="17">
        <v>29</v>
      </c>
      <c r="O95" s="17">
        <v>26.33</v>
      </c>
      <c r="P95" s="6">
        <v>5836</v>
      </c>
      <c r="Q95" s="6">
        <v>2439</v>
      </c>
      <c r="R95" s="6">
        <v>1745</v>
      </c>
      <c r="S95" s="6">
        <v>110934</v>
      </c>
      <c r="T95" s="18">
        <v>67.37</v>
      </c>
      <c r="U95" s="6">
        <v>14004</v>
      </c>
      <c r="V95" s="21">
        <v>66</v>
      </c>
      <c r="W95" s="21">
        <v>64</v>
      </c>
      <c r="X95" s="21">
        <v>2</v>
      </c>
      <c r="Y95" s="21">
        <v>20</v>
      </c>
      <c r="Z95" s="22">
        <f t="shared" si="4"/>
        <v>33.725490196078432</v>
      </c>
      <c r="AA95" s="22">
        <f t="shared" si="5"/>
        <v>96.969696969696969</v>
      </c>
      <c r="AB95" s="18">
        <v>97.4</v>
      </c>
      <c r="AC95" s="6">
        <v>2376</v>
      </c>
      <c r="AD95" s="6">
        <v>58</v>
      </c>
      <c r="AE95" s="6">
        <v>1</v>
      </c>
      <c r="AF95" s="6">
        <v>4</v>
      </c>
      <c r="AG95" s="7">
        <v>17677</v>
      </c>
      <c r="AH95" s="6">
        <v>17654</v>
      </c>
      <c r="AI95" s="5" t="s">
        <v>297</v>
      </c>
      <c r="AJ95" s="38">
        <v>102.456098428698</v>
      </c>
      <c r="AK95" s="29">
        <v>75.476808242686403</v>
      </c>
      <c r="AL95" s="29">
        <v>5.76409665690369</v>
      </c>
      <c r="AM95" s="29">
        <v>18.57967728985</v>
      </c>
      <c r="AN95" s="2">
        <v>2</v>
      </c>
      <c r="AO95" s="2" t="s">
        <v>960</v>
      </c>
      <c r="AP95" s="26">
        <v>5.2847127454433686E-2</v>
      </c>
      <c r="AQ95" s="2" t="s">
        <v>298</v>
      </c>
      <c r="AR95" s="2" t="s">
        <v>299</v>
      </c>
      <c r="AS95" s="2" t="s">
        <v>300</v>
      </c>
      <c r="AU95" s="2" t="s">
        <v>724</v>
      </c>
      <c r="AV95" s="29">
        <v>96.8</v>
      </c>
    </row>
    <row r="96" spans="1:48" x14ac:dyDescent="0.2">
      <c r="A96" s="12" t="s">
        <v>833</v>
      </c>
      <c r="B96" s="2" t="s">
        <v>987</v>
      </c>
      <c r="C96" s="32">
        <v>139</v>
      </c>
      <c r="D96" s="45" t="s">
        <v>22</v>
      </c>
      <c r="E96" s="46">
        <v>108</v>
      </c>
      <c r="F96" s="41" t="s">
        <v>375</v>
      </c>
      <c r="G96" s="41" t="s">
        <v>20</v>
      </c>
      <c r="H96" s="2" t="s">
        <v>21</v>
      </c>
      <c r="I96" s="2">
        <v>1</v>
      </c>
      <c r="J96" s="2">
        <v>0</v>
      </c>
      <c r="K96" s="2">
        <v>1</v>
      </c>
      <c r="L96" s="2" t="s">
        <v>22</v>
      </c>
      <c r="M96" s="17">
        <v>20.100000000000001</v>
      </c>
      <c r="N96" s="17">
        <v>3.25</v>
      </c>
      <c r="O96" s="17">
        <v>0.42</v>
      </c>
      <c r="P96" s="6">
        <v>11429</v>
      </c>
      <c r="Q96" s="6">
        <v>855</v>
      </c>
      <c r="R96" s="6">
        <v>72</v>
      </c>
      <c r="S96" s="6">
        <v>8870</v>
      </c>
      <c r="T96" s="18">
        <v>47.3</v>
      </c>
      <c r="U96" s="6">
        <v>1814</v>
      </c>
      <c r="V96" s="21">
        <v>42</v>
      </c>
      <c r="W96" s="21">
        <v>40</v>
      </c>
      <c r="X96" s="21">
        <v>2</v>
      </c>
      <c r="Y96" s="21">
        <v>44</v>
      </c>
      <c r="Z96" s="22">
        <f t="shared" si="4"/>
        <v>33.725490196078432</v>
      </c>
      <c r="AA96" s="22">
        <f t="shared" si="5"/>
        <v>95.238095238095241</v>
      </c>
      <c r="AB96" s="18">
        <v>99.4</v>
      </c>
      <c r="AC96" s="6">
        <v>850</v>
      </c>
      <c r="AD96" s="6">
        <v>1</v>
      </c>
      <c r="AE96" s="6">
        <v>3</v>
      </c>
      <c r="AF96" s="6">
        <v>1</v>
      </c>
      <c r="AG96" s="6">
        <v>10307</v>
      </c>
      <c r="AH96" s="6">
        <v>10242</v>
      </c>
      <c r="AI96" s="5" t="s">
        <v>376</v>
      </c>
      <c r="AJ96" s="38">
        <v>59.580177883189997</v>
      </c>
      <c r="AK96" s="29">
        <v>41.8456316093325</v>
      </c>
      <c r="AL96" s="29">
        <v>15.931221292735399</v>
      </c>
      <c r="AM96" s="29">
        <v>41.999709002520603</v>
      </c>
      <c r="AN96" s="2">
        <v>5</v>
      </c>
      <c r="AO96" s="2" t="s">
        <v>975</v>
      </c>
      <c r="AP96" s="26">
        <v>1.5532962965887633E-3</v>
      </c>
      <c r="AQ96" s="2" t="s">
        <v>377</v>
      </c>
      <c r="AR96" s="15" t="s">
        <v>378</v>
      </c>
      <c r="AS96" s="2" t="s">
        <v>379</v>
      </c>
      <c r="AU96" s="2" t="s">
        <v>735</v>
      </c>
      <c r="AV96" s="2">
        <v>99.2</v>
      </c>
    </row>
    <row r="97" spans="1:48" x14ac:dyDescent="0.2">
      <c r="A97" s="12" t="s">
        <v>834</v>
      </c>
      <c r="B97" s="2" t="s">
        <v>987</v>
      </c>
      <c r="C97" s="32">
        <v>83</v>
      </c>
      <c r="D97" s="45" t="s">
        <v>22</v>
      </c>
      <c r="E97" s="46">
        <v>49</v>
      </c>
      <c r="F97" s="41" t="s">
        <v>201</v>
      </c>
      <c r="G97" s="41" t="s">
        <v>120</v>
      </c>
      <c r="H97" s="2" t="s">
        <v>121</v>
      </c>
      <c r="I97" s="2">
        <v>1</v>
      </c>
      <c r="J97" s="2">
        <v>0</v>
      </c>
      <c r="K97" s="2">
        <v>1</v>
      </c>
      <c r="L97" s="2" t="s">
        <v>22</v>
      </c>
      <c r="M97" s="17">
        <v>28.35</v>
      </c>
      <c r="N97" s="17">
        <v>23.73</v>
      </c>
      <c r="O97" s="17">
        <v>20.97</v>
      </c>
      <c r="P97" s="6">
        <v>5161</v>
      </c>
      <c r="Q97" s="6">
        <v>2372</v>
      </c>
      <c r="R97" s="6">
        <v>1657</v>
      </c>
      <c r="S97" s="6">
        <v>61198</v>
      </c>
      <c r="T97" s="18">
        <v>63.57</v>
      </c>
      <c r="U97" s="6">
        <v>11083</v>
      </c>
      <c r="V97" s="21">
        <v>46</v>
      </c>
      <c r="W97" s="21">
        <v>46</v>
      </c>
      <c r="X97" s="21">
        <v>0</v>
      </c>
      <c r="Y97" s="21">
        <v>21</v>
      </c>
      <c r="Z97" s="22">
        <f t="shared" si="4"/>
        <v>26.274509803921568</v>
      </c>
      <c r="AA97" s="22">
        <f t="shared" si="5"/>
        <v>100</v>
      </c>
      <c r="AB97" s="18">
        <v>98.1</v>
      </c>
      <c r="AC97" s="6">
        <v>2326</v>
      </c>
      <c r="AD97" s="6">
        <v>45</v>
      </c>
      <c r="AE97" s="6">
        <v>0</v>
      </c>
      <c r="AF97" s="6">
        <v>1</v>
      </c>
      <c r="AG97" s="7">
        <v>12465</v>
      </c>
      <c r="AH97" s="6">
        <v>12440</v>
      </c>
      <c r="AI97" s="5" t="s">
        <v>202</v>
      </c>
      <c r="AJ97" s="38">
        <v>107.91106585458699</v>
      </c>
      <c r="AK97" s="29">
        <v>61.401684344603197</v>
      </c>
      <c r="AL97" s="29">
        <v>14.052313023910401</v>
      </c>
      <c r="AM97" s="29">
        <v>24.403538745637</v>
      </c>
      <c r="AN97" s="2">
        <v>3</v>
      </c>
      <c r="AO97" s="2" t="s">
        <v>942</v>
      </c>
      <c r="AP97" s="26">
        <v>5.9501597711918763E-2</v>
      </c>
      <c r="AQ97" s="2" t="s">
        <v>203</v>
      </c>
      <c r="AR97" s="2" t="s">
        <v>204</v>
      </c>
      <c r="AS97" s="2" t="s">
        <v>205</v>
      </c>
      <c r="AU97" s="2" t="s">
        <v>714</v>
      </c>
      <c r="AV97" s="29">
        <v>99.7</v>
      </c>
    </row>
    <row r="98" spans="1:48" x14ac:dyDescent="0.2">
      <c r="A98" s="12" t="s">
        <v>873</v>
      </c>
      <c r="B98" s="2" t="s">
        <v>987</v>
      </c>
      <c r="C98" s="32">
        <v>67</v>
      </c>
      <c r="D98" s="45" t="s">
        <v>22</v>
      </c>
      <c r="E98" s="46">
        <v>32</v>
      </c>
      <c r="F98" s="41" t="s">
        <v>607</v>
      </c>
      <c r="G98" s="41" t="s">
        <v>879</v>
      </c>
      <c r="H98" s="2" t="s">
        <v>38</v>
      </c>
      <c r="I98" s="2">
        <v>3</v>
      </c>
      <c r="J98" s="2">
        <v>0</v>
      </c>
      <c r="K98" s="16">
        <v>3</v>
      </c>
      <c r="L98" s="16">
        <v>3</v>
      </c>
      <c r="M98" s="38">
        <v>29.98</v>
      </c>
      <c r="N98" s="38">
        <v>24.21</v>
      </c>
      <c r="O98" s="38">
        <v>20.28</v>
      </c>
      <c r="P98" s="2">
        <v>5661</v>
      </c>
      <c r="Q98" s="2">
        <v>2387</v>
      </c>
      <c r="R98" s="2">
        <v>1362</v>
      </c>
      <c r="S98" s="2">
        <v>118770</v>
      </c>
      <c r="T98" s="29">
        <v>45.09</v>
      </c>
      <c r="U98" s="2">
        <v>11359</v>
      </c>
      <c r="V98" s="21">
        <v>171</v>
      </c>
      <c r="W98" s="21">
        <v>167</v>
      </c>
      <c r="X98" s="21">
        <v>4</v>
      </c>
      <c r="Y98" s="21">
        <v>25</v>
      </c>
      <c r="Z98" s="22">
        <f t="shared" ref="Z98:Z129" si="6">100*(V98+Y98)/255</f>
        <v>76.862745098039213</v>
      </c>
      <c r="AA98" s="22">
        <f t="shared" ref="AA98:AA129" si="7">100*W98/V98</f>
        <v>97.660818713450297</v>
      </c>
      <c r="AB98" s="29">
        <v>99.2</v>
      </c>
      <c r="AC98" s="2">
        <v>2368</v>
      </c>
      <c r="AD98" s="2">
        <v>11</v>
      </c>
      <c r="AE98" s="2">
        <v>1</v>
      </c>
      <c r="AF98" s="2">
        <v>7</v>
      </c>
      <c r="AG98" s="2">
        <v>14510</v>
      </c>
      <c r="AH98" s="2">
        <v>14491</v>
      </c>
      <c r="AI98" s="5" t="s">
        <v>129</v>
      </c>
      <c r="AJ98" s="38">
        <v>39.002122040072898</v>
      </c>
      <c r="AK98" s="29">
        <v>62.941543477070802</v>
      </c>
      <c r="AL98" s="29">
        <v>3.5405941302192301</v>
      </c>
      <c r="AM98" s="29">
        <v>33.3659894470536</v>
      </c>
      <c r="AN98" s="2">
        <v>4</v>
      </c>
      <c r="AO98" s="2" t="s">
        <v>930</v>
      </c>
      <c r="AP98" s="26">
        <v>1.4733815514906634E-3</v>
      </c>
      <c r="AQ98" s="2" t="s">
        <v>130</v>
      </c>
      <c r="AR98" s="2" t="s">
        <v>131</v>
      </c>
      <c r="AS98" s="2" t="s">
        <v>132</v>
      </c>
      <c r="AU98" s="2" t="s">
        <v>702</v>
      </c>
      <c r="AV98" s="29">
        <v>99.4</v>
      </c>
    </row>
    <row r="99" spans="1:48" x14ac:dyDescent="0.2">
      <c r="A99" s="12" t="s">
        <v>875</v>
      </c>
      <c r="B99" s="2" t="s">
        <v>987</v>
      </c>
      <c r="C99" s="32">
        <v>74</v>
      </c>
      <c r="D99" s="45" t="s">
        <v>22</v>
      </c>
      <c r="E99" s="46">
        <v>39</v>
      </c>
      <c r="F99" s="41" t="s">
        <v>159</v>
      </c>
      <c r="G99" s="41" t="s">
        <v>879</v>
      </c>
      <c r="H99" s="2" t="s">
        <v>38</v>
      </c>
      <c r="I99" s="2">
        <v>1</v>
      </c>
      <c r="J99" s="2">
        <v>0</v>
      </c>
      <c r="K99" s="2">
        <v>1</v>
      </c>
      <c r="L99" s="2" t="s">
        <v>22</v>
      </c>
      <c r="M99" s="17">
        <v>13.88</v>
      </c>
      <c r="N99" s="17">
        <v>11.98</v>
      </c>
      <c r="O99" s="17">
        <v>10.8</v>
      </c>
      <c r="P99" s="6">
        <v>2343</v>
      </c>
      <c r="Q99" s="6">
        <v>1202</v>
      </c>
      <c r="R99" s="6">
        <v>896</v>
      </c>
      <c r="S99" s="6">
        <v>48480</v>
      </c>
      <c r="T99" s="18">
        <v>41.28</v>
      </c>
      <c r="U99" s="6">
        <v>11156</v>
      </c>
      <c r="V99" s="21">
        <v>97</v>
      </c>
      <c r="W99" s="21">
        <v>97</v>
      </c>
      <c r="X99" s="21">
        <v>0</v>
      </c>
      <c r="Y99" s="21">
        <v>25</v>
      </c>
      <c r="Z99" s="22">
        <f t="shared" si="6"/>
        <v>47.843137254901961</v>
      </c>
      <c r="AA99" s="22">
        <f t="shared" si="7"/>
        <v>100</v>
      </c>
      <c r="AB99" s="18">
        <v>99.8</v>
      </c>
      <c r="AC99" s="6">
        <v>1199</v>
      </c>
      <c r="AD99" s="6">
        <v>3</v>
      </c>
      <c r="AE99" s="6">
        <v>0</v>
      </c>
      <c r="AF99" s="6">
        <v>0</v>
      </c>
      <c r="AG99" s="7">
        <v>7959</v>
      </c>
      <c r="AH99" s="6">
        <v>7952</v>
      </c>
      <c r="AI99" s="5" t="s">
        <v>160</v>
      </c>
      <c r="AJ99" s="38">
        <v>29.013448996655502</v>
      </c>
      <c r="AK99" s="29">
        <v>73.556541720286802</v>
      </c>
      <c r="AL99" s="29">
        <v>3.8888521454630398</v>
      </c>
      <c r="AM99" s="29">
        <v>22.375377466654601</v>
      </c>
      <c r="AN99" s="2">
        <v>2</v>
      </c>
      <c r="AO99" s="2" t="s">
        <v>936</v>
      </c>
      <c r="AP99" s="26">
        <v>6.3376860546132785E-2</v>
      </c>
      <c r="AQ99" s="2" t="s">
        <v>161</v>
      </c>
      <c r="AR99" s="2" t="s">
        <v>162</v>
      </c>
      <c r="AS99" s="2" t="s">
        <v>163</v>
      </c>
      <c r="AU99" s="2" t="s">
        <v>708</v>
      </c>
      <c r="AV99" s="2">
        <v>98.7</v>
      </c>
    </row>
    <row r="100" spans="1:48" x14ac:dyDescent="0.2">
      <c r="A100" s="12" t="s">
        <v>832</v>
      </c>
      <c r="B100" s="2" t="s">
        <v>990</v>
      </c>
      <c r="C100" s="32">
        <v>50</v>
      </c>
      <c r="D100" s="45" t="s">
        <v>22</v>
      </c>
      <c r="E100" s="46">
        <v>12</v>
      </c>
      <c r="F100" s="41" t="s">
        <v>651</v>
      </c>
      <c r="G100" s="41" t="s">
        <v>43</v>
      </c>
      <c r="H100" s="2" t="s">
        <v>38</v>
      </c>
      <c r="I100" s="2">
        <v>1</v>
      </c>
      <c r="J100" s="2">
        <v>0</v>
      </c>
      <c r="K100" s="2">
        <v>1</v>
      </c>
      <c r="L100" s="2" t="s">
        <v>22</v>
      </c>
      <c r="M100" s="17">
        <v>17.149999999999999</v>
      </c>
      <c r="N100" s="17">
        <v>15.11</v>
      </c>
      <c r="O100" s="17">
        <v>13.53</v>
      </c>
      <c r="P100" s="6">
        <v>2560</v>
      </c>
      <c r="Q100" s="6">
        <v>1388</v>
      </c>
      <c r="R100" s="6">
        <v>978</v>
      </c>
      <c r="S100" s="6">
        <v>84622</v>
      </c>
      <c r="T100" s="18">
        <v>44.66</v>
      </c>
      <c r="U100" s="6">
        <v>12941</v>
      </c>
      <c r="V100" s="21">
        <v>77</v>
      </c>
      <c r="W100" s="21">
        <v>75</v>
      </c>
      <c r="X100" s="21">
        <v>2</v>
      </c>
      <c r="Y100" s="21">
        <v>22</v>
      </c>
      <c r="Z100" s="22">
        <f t="shared" si="6"/>
        <v>38.823529411764703</v>
      </c>
      <c r="AA100" s="22">
        <f t="shared" si="7"/>
        <v>97.402597402597408</v>
      </c>
      <c r="AB100" s="18">
        <v>99.7</v>
      </c>
      <c r="AC100" s="6">
        <v>1384</v>
      </c>
      <c r="AD100" s="6">
        <v>4</v>
      </c>
      <c r="AE100" s="6">
        <v>0</v>
      </c>
      <c r="AF100" s="6">
        <v>0</v>
      </c>
      <c r="AG100" s="7">
        <v>7158</v>
      </c>
      <c r="AH100" s="6">
        <v>7133</v>
      </c>
      <c r="AI100" s="5" t="s">
        <v>65</v>
      </c>
      <c r="AJ100" s="38">
        <v>44.1670401854714</v>
      </c>
      <c r="AK100" s="29">
        <v>72.412183968582099</v>
      </c>
      <c r="AL100" s="29">
        <v>3.53797713646818</v>
      </c>
      <c r="AM100" s="29">
        <v>23.901352209263599</v>
      </c>
      <c r="AN100" s="2">
        <v>2</v>
      </c>
      <c r="AO100" s="2" t="s">
        <v>920</v>
      </c>
      <c r="AP100" s="26">
        <v>9.4699654067330219E-2</v>
      </c>
      <c r="AQ100" s="2" t="s">
        <v>66</v>
      </c>
      <c r="AR100" s="2" t="s">
        <v>67</v>
      </c>
      <c r="AS100" s="2" t="s">
        <v>68</v>
      </c>
      <c r="AU100" s="2" t="s">
        <v>683</v>
      </c>
      <c r="AV100" s="29">
        <v>90.8</v>
      </c>
    </row>
    <row r="101" spans="1:48" x14ac:dyDescent="0.2">
      <c r="A101" s="12" t="s">
        <v>779</v>
      </c>
      <c r="B101" s="2" t="s">
        <v>987</v>
      </c>
      <c r="C101" s="32">
        <v>85</v>
      </c>
      <c r="D101" s="45" t="s">
        <v>22</v>
      </c>
      <c r="E101" s="46">
        <v>51</v>
      </c>
      <c r="F101" s="41" t="s">
        <v>211</v>
      </c>
      <c r="G101" s="41" t="s">
        <v>59</v>
      </c>
      <c r="H101" s="2" t="s">
        <v>38</v>
      </c>
      <c r="I101" s="2">
        <v>1</v>
      </c>
      <c r="J101" s="2">
        <v>0</v>
      </c>
      <c r="K101" s="2">
        <v>1</v>
      </c>
      <c r="L101" s="2" t="s">
        <v>22</v>
      </c>
      <c r="M101" s="17">
        <v>7.68</v>
      </c>
      <c r="N101" s="17">
        <v>5.99</v>
      </c>
      <c r="O101" s="17">
        <v>5.43</v>
      </c>
      <c r="P101" s="6">
        <v>1528</v>
      </c>
      <c r="Q101" s="6">
        <v>466</v>
      </c>
      <c r="R101" s="6">
        <v>325</v>
      </c>
      <c r="S101" s="6">
        <v>101782</v>
      </c>
      <c r="T101" s="18">
        <v>36.1</v>
      </c>
      <c r="U101" s="6">
        <v>14495</v>
      </c>
      <c r="V101" s="21">
        <v>50</v>
      </c>
      <c r="W101" s="21">
        <v>50</v>
      </c>
      <c r="X101" s="21">
        <v>0</v>
      </c>
      <c r="Y101" s="21">
        <v>13</v>
      </c>
      <c r="Z101" s="22">
        <f t="shared" si="6"/>
        <v>24.705882352941178</v>
      </c>
      <c r="AA101" s="22">
        <f t="shared" si="7"/>
        <v>100</v>
      </c>
      <c r="AB101" s="18">
        <v>90.8</v>
      </c>
      <c r="AC101" s="6">
        <v>423</v>
      </c>
      <c r="AD101" s="6">
        <v>43</v>
      </c>
      <c r="AE101" s="6">
        <v>0</v>
      </c>
      <c r="AF101" s="6">
        <v>0</v>
      </c>
      <c r="AG101" s="7">
        <v>3656</v>
      </c>
      <c r="AH101" s="6">
        <v>3645</v>
      </c>
      <c r="AI101" s="5" t="s">
        <v>212</v>
      </c>
      <c r="AJ101" s="38">
        <v>31.088664508296201</v>
      </c>
      <c r="AK101" s="29">
        <v>70.759406816628299</v>
      </c>
      <c r="AL101" s="29">
        <v>4.7158497210820798</v>
      </c>
      <c r="AM101" s="29">
        <v>24.330054807277602</v>
      </c>
      <c r="AN101" s="2">
        <v>2</v>
      </c>
      <c r="AO101" s="2" t="s">
        <v>944</v>
      </c>
      <c r="AP101" s="26">
        <v>6.5055347437679559E-2</v>
      </c>
      <c r="AQ101" s="2" t="s">
        <v>213</v>
      </c>
      <c r="AR101" s="2" t="s">
        <v>214</v>
      </c>
      <c r="AS101" s="2" t="s">
        <v>215</v>
      </c>
      <c r="AT101" s="13" t="s">
        <v>599</v>
      </c>
      <c r="AU101" s="2" t="s">
        <v>705</v>
      </c>
      <c r="AV101" s="29">
        <v>96.8</v>
      </c>
    </row>
    <row r="102" spans="1:48" x14ac:dyDescent="0.2">
      <c r="A102" s="12" t="s">
        <v>539</v>
      </c>
      <c r="B102" s="2" t="s">
        <v>993</v>
      </c>
      <c r="C102" s="33">
        <v>1</v>
      </c>
      <c r="D102" s="45">
        <v>1</v>
      </c>
      <c r="E102" s="45">
        <v>27</v>
      </c>
      <c r="F102" s="41" t="s">
        <v>110</v>
      </c>
      <c r="G102" s="41" t="s">
        <v>105</v>
      </c>
      <c r="H102" s="2" t="s">
        <v>86</v>
      </c>
      <c r="I102" s="2">
        <v>11</v>
      </c>
      <c r="J102" s="2">
        <v>6</v>
      </c>
      <c r="K102" s="16">
        <v>5</v>
      </c>
      <c r="L102" s="16">
        <v>11</v>
      </c>
      <c r="M102" s="38">
        <v>17.73</v>
      </c>
      <c r="N102" s="38">
        <v>15.59</v>
      </c>
      <c r="O102" s="38">
        <v>14.45</v>
      </c>
      <c r="P102" s="2">
        <v>2255</v>
      </c>
      <c r="Q102" s="2">
        <v>991</v>
      </c>
      <c r="R102" s="2">
        <v>697</v>
      </c>
      <c r="S102" s="2">
        <v>148522</v>
      </c>
      <c r="T102" s="29">
        <v>67.14</v>
      </c>
      <c r="U102" s="2">
        <v>25749</v>
      </c>
      <c r="V102" s="21">
        <v>183</v>
      </c>
      <c r="W102" s="21">
        <v>181</v>
      </c>
      <c r="X102" s="21">
        <v>2</v>
      </c>
      <c r="Y102" s="21">
        <v>20</v>
      </c>
      <c r="Z102" s="22">
        <f t="shared" si="6"/>
        <v>79.607843137254903</v>
      </c>
      <c r="AA102" s="22">
        <f t="shared" si="7"/>
        <v>98.907103825136616</v>
      </c>
      <c r="AB102" s="29">
        <v>98</v>
      </c>
      <c r="AC102" s="2">
        <v>971</v>
      </c>
      <c r="AD102" s="2">
        <v>14</v>
      </c>
      <c r="AE102" s="2">
        <v>1</v>
      </c>
      <c r="AF102" s="2">
        <v>5</v>
      </c>
      <c r="AG102" s="2">
        <v>9269</v>
      </c>
      <c r="AH102" s="2">
        <v>9247</v>
      </c>
      <c r="AI102" s="5" t="s">
        <v>111</v>
      </c>
      <c r="AJ102" s="38">
        <v>22.265156387388501</v>
      </c>
      <c r="AK102" s="29">
        <v>74.459499705815801</v>
      </c>
      <c r="AL102" s="29">
        <v>5.1755539584653398</v>
      </c>
      <c r="AM102" s="29">
        <v>20.196819335716398</v>
      </c>
      <c r="AN102" s="2">
        <v>1</v>
      </c>
      <c r="AO102" s="2" t="s">
        <v>885</v>
      </c>
      <c r="AP102" s="26">
        <v>3.1022507551891207</v>
      </c>
      <c r="AQ102" s="2" t="s">
        <v>112</v>
      </c>
      <c r="AR102" s="2" t="s">
        <v>113</v>
      </c>
      <c r="AS102" s="2" t="s">
        <v>114</v>
      </c>
      <c r="AU102" s="2" t="s">
        <v>104</v>
      </c>
      <c r="AV102" s="2">
        <v>99.8</v>
      </c>
    </row>
    <row r="103" spans="1:48" x14ac:dyDescent="0.2">
      <c r="A103" s="12" t="s">
        <v>546</v>
      </c>
      <c r="B103" s="2" t="s">
        <v>986</v>
      </c>
      <c r="C103" s="32">
        <v>34</v>
      </c>
      <c r="D103" s="45">
        <v>39</v>
      </c>
      <c r="E103" s="45" t="s">
        <v>22</v>
      </c>
      <c r="F103" s="41" t="s">
        <v>515</v>
      </c>
      <c r="G103" s="41" t="s">
        <v>455</v>
      </c>
      <c r="H103" s="2" t="s">
        <v>315</v>
      </c>
      <c r="I103" s="2">
        <v>1</v>
      </c>
      <c r="J103" s="2">
        <v>1</v>
      </c>
      <c r="K103" s="2">
        <v>0</v>
      </c>
      <c r="L103" s="2" t="s">
        <v>22</v>
      </c>
      <c r="M103" s="38">
        <v>30.69</v>
      </c>
      <c r="N103" s="38">
        <v>23.84</v>
      </c>
      <c r="O103" s="38">
        <v>21.49</v>
      </c>
      <c r="P103" s="2">
        <v>6350</v>
      </c>
      <c r="Q103" s="2">
        <v>2036</v>
      </c>
      <c r="R103" s="2">
        <v>1420</v>
      </c>
      <c r="S103" s="2">
        <v>83784</v>
      </c>
      <c r="T103" s="29">
        <v>51.37</v>
      </c>
      <c r="U103" s="2">
        <v>12408</v>
      </c>
      <c r="V103" s="21">
        <v>33</v>
      </c>
      <c r="W103" s="21">
        <v>33</v>
      </c>
      <c r="X103" s="21">
        <v>0</v>
      </c>
      <c r="Y103" s="21">
        <v>15</v>
      </c>
      <c r="Z103" s="22">
        <f t="shared" si="6"/>
        <v>18.823529411764707</v>
      </c>
      <c r="AA103" s="22">
        <f t="shared" si="7"/>
        <v>100</v>
      </c>
      <c r="AB103" s="29">
        <v>98.6</v>
      </c>
      <c r="AC103" s="2">
        <v>2007</v>
      </c>
      <c r="AD103" s="2">
        <v>28</v>
      </c>
      <c r="AE103" s="2">
        <v>0</v>
      </c>
      <c r="AF103" s="2">
        <v>1</v>
      </c>
      <c r="AG103" s="6">
        <v>8590</v>
      </c>
      <c r="AH103" s="2">
        <v>8495</v>
      </c>
      <c r="AI103" s="12" t="s">
        <v>481</v>
      </c>
      <c r="AJ103" s="38">
        <v>163.05280021254001</v>
      </c>
      <c r="AK103" s="29">
        <v>40.942361792078401</v>
      </c>
      <c r="AL103" s="29">
        <v>20.556796617357001</v>
      </c>
      <c r="AM103" s="29">
        <v>38.390861764558203</v>
      </c>
      <c r="AN103" s="2">
        <v>5</v>
      </c>
      <c r="AO103" s="2" t="s">
        <v>908</v>
      </c>
      <c r="AP103" s="26">
        <v>3.8776156954259844E-2</v>
      </c>
      <c r="AQ103" s="2" t="s">
        <v>590</v>
      </c>
      <c r="AR103" s="2" t="s">
        <v>482</v>
      </c>
      <c r="AS103" s="2" t="s">
        <v>483</v>
      </c>
      <c r="AU103" s="2" t="s">
        <v>688</v>
      </c>
      <c r="AV103" s="29">
        <v>89.3</v>
      </c>
    </row>
    <row r="104" spans="1:48" x14ac:dyDescent="0.2">
      <c r="A104" s="12" t="s">
        <v>830</v>
      </c>
      <c r="B104" s="2" t="s">
        <v>990</v>
      </c>
      <c r="C104" s="32">
        <v>17</v>
      </c>
      <c r="D104" s="45">
        <v>20</v>
      </c>
      <c r="E104" s="45" t="s">
        <v>22</v>
      </c>
      <c r="F104" s="41" t="s">
        <v>533</v>
      </c>
      <c r="G104" s="41" t="s">
        <v>424</v>
      </c>
      <c r="H104" s="2" t="s">
        <v>38</v>
      </c>
      <c r="I104" s="2">
        <v>1</v>
      </c>
      <c r="J104" s="2">
        <v>1</v>
      </c>
      <c r="K104" s="2">
        <v>0</v>
      </c>
      <c r="L104" s="2" t="s">
        <v>22</v>
      </c>
      <c r="M104" s="38">
        <v>10.87</v>
      </c>
      <c r="N104" s="38">
        <v>8.51</v>
      </c>
      <c r="O104" s="38">
        <v>7.2</v>
      </c>
      <c r="P104" s="2">
        <v>2408</v>
      </c>
      <c r="Q104" s="2">
        <v>955</v>
      </c>
      <c r="R104" s="2">
        <v>613</v>
      </c>
      <c r="S104" s="2">
        <v>48802</v>
      </c>
      <c r="T104" s="29">
        <v>60.96</v>
      </c>
      <c r="U104" s="2">
        <v>8517</v>
      </c>
      <c r="V104" s="21">
        <v>36</v>
      </c>
      <c r="W104" s="21">
        <v>36</v>
      </c>
      <c r="X104" s="21">
        <v>0</v>
      </c>
      <c r="Y104" s="21">
        <v>10</v>
      </c>
      <c r="Z104" s="22">
        <f t="shared" si="6"/>
        <v>18.03921568627451</v>
      </c>
      <c r="AA104" s="22">
        <f t="shared" si="7"/>
        <v>100</v>
      </c>
      <c r="AB104" s="29">
        <v>99.5</v>
      </c>
      <c r="AC104" s="2">
        <v>950</v>
      </c>
      <c r="AD104" s="2">
        <v>5</v>
      </c>
      <c r="AE104" s="2">
        <v>0</v>
      </c>
      <c r="AF104" s="2">
        <v>0</v>
      </c>
      <c r="AG104" s="6">
        <v>5471</v>
      </c>
      <c r="AH104" s="2">
        <v>5463</v>
      </c>
      <c r="AI104" s="12" t="s">
        <v>449</v>
      </c>
      <c r="AJ104" s="38">
        <v>60.244484478935703</v>
      </c>
      <c r="AK104" s="29">
        <v>82.028725338962005</v>
      </c>
      <c r="AL104" s="29">
        <v>4.9682074289860099</v>
      </c>
      <c r="AM104" s="29">
        <v>12.833700079268599</v>
      </c>
      <c r="AN104" s="2">
        <v>1</v>
      </c>
      <c r="AO104" s="2" t="s">
        <v>896</v>
      </c>
      <c r="AP104" s="26">
        <v>7.2652713808405919E-2</v>
      </c>
      <c r="AQ104" s="2" t="s">
        <v>578</v>
      </c>
      <c r="AR104" s="2" t="s">
        <v>450</v>
      </c>
      <c r="AS104" s="2" t="s">
        <v>451</v>
      </c>
      <c r="AU104" s="2" t="s">
        <v>677</v>
      </c>
      <c r="AV104" s="29">
        <v>90.9</v>
      </c>
    </row>
    <row r="105" spans="1:48" x14ac:dyDescent="0.2">
      <c r="A105" s="12" t="s">
        <v>780</v>
      </c>
      <c r="B105" s="2" t="s">
        <v>987</v>
      </c>
      <c r="C105" s="32">
        <v>81</v>
      </c>
      <c r="D105" s="45" t="s">
        <v>22</v>
      </c>
      <c r="E105" s="46">
        <v>47</v>
      </c>
      <c r="F105" s="41" t="s">
        <v>516</v>
      </c>
      <c r="G105" s="41" t="s">
        <v>191</v>
      </c>
      <c r="H105" s="2" t="s">
        <v>38</v>
      </c>
      <c r="I105" s="2">
        <v>1</v>
      </c>
      <c r="J105" s="2">
        <v>0</v>
      </c>
      <c r="K105" s="2">
        <v>1</v>
      </c>
      <c r="L105" s="16" t="s">
        <v>22</v>
      </c>
      <c r="M105" s="17">
        <v>14.95</v>
      </c>
      <c r="N105" s="17">
        <v>12.53</v>
      </c>
      <c r="O105" s="17">
        <v>11.18</v>
      </c>
      <c r="P105" s="6">
        <v>2849</v>
      </c>
      <c r="Q105" s="6">
        <v>1382</v>
      </c>
      <c r="R105" s="6">
        <v>1035</v>
      </c>
      <c r="S105" s="6">
        <v>52301</v>
      </c>
      <c r="T105" s="18">
        <v>42.1</v>
      </c>
      <c r="U105" s="6">
        <v>9451</v>
      </c>
      <c r="V105" s="21">
        <v>60</v>
      </c>
      <c r="W105" s="21">
        <v>57</v>
      </c>
      <c r="X105" s="21">
        <v>3</v>
      </c>
      <c r="Y105" s="21">
        <v>24</v>
      </c>
      <c r="Z105" s="22">
        <f t="shared" si="6"/>
        <v>32.941176470588232</v>
      </c>
      <c r="AA105" s="22">
        <f t="shared" si="7"/>
        <v>95</v>
      </c>
      <c r="AB105" s="18">
        <v>99.6</v>
      </c>
      <c r="AC105" s="6">
        <v>1376</v>
      </c>
      <c r="AD105" s="6">
        <v>6</v>
      </c>
      <c r="AE105" s="6">
        <v>0</v>
      </c>
      <c r="AF105" s="6">
        <v>0</v>
      </c>
      <c r="AG105" s="7">
        <v>6526</v>
      </c>
      <c r="AH105" s="6">
        <v>6508</v>
      </c>
      <c r="AI105" s="5" t="s">
        <v>192</v>
      </c>
      <c r="AJ105" s="38">
        <v>45.395555555555603</v>
      </c>
      <c r="AK105" s="29">
        <v>64.786071244761004</v>
      </c>
      <c r="AL105" s="29">
        <v>16.489769212085399</v>
      </c>
      <c r="AM105" s="29">
        <v>18.586564460437401</v>
      </c>
      <c r="AN105" s="2">
        <v>3</v>
      </c>
      <c r="AO105" s="2" t="s">
        <v>332</v>
      </c>
      <c r="AP105" s="26">
        <v>7.0609692227051907E-2</v>
      </c>
      <c r="AQ105" s="2" t="s">
        <v>193</v>
      </c>
      <c r="AR105" s="2" t="s">
        <v>194</v>
      </c>
      <c r="AS105" s="2" t="s">
        <v>195</v>
      </c>
      <c r="AU105" s="2" t="s">
        <v>673</v>
      </c>
      <c r="AV105" s="29">
        <v>88.2</v>
      </c>
    </row>
    <row r="106" spans="1:48" x14ac:dyDescent="0.2">
      <c r="A106" s="12" t="s">
        <v>850</v>
      </c>
      <c r="B106" s="2" t="s">
        <v>990</v>
      </c>
      <c r="C106" s="31">
        <v>12</v>
      </c>
      <c r="D106" s="45">
        <v>13</v>
      </c>
      <c r="E106" s="45" t="s">
        <v>22</v>
      </c>
      <c r="F106" s="41" t="s">
        <v>510</v>
      </c>
      <c r="G106" s="41" t="s">
        <v>431</v>
      </c>
      <c r="H106" s="2" t="s">
        <v>315</v>
      </c>
      <c r="I106" s="2">
        <v>1</v>
      </c>
      <c r="J106" s="2">
        <v>1</v>
      </c>
      <c r="K106" s="2">
        <v>0</v>
      </c>
      <c r="L106" s="2" t="s">
        <v>22</v>
      </c>
      <c r="M106" s="38">
        <v>8.65</v>
      </c>
      <c r="N106" s="38">
        <v>6.35</v>
      </c>
      <c r="O106" s="38">
        <v>5.47</v>
      </c>
      <c r="P106" s="2">
        <v>2161</v>
      </c>
      <c r="Q106" s="2">
        <v>692</v>
      </c>
      <c r="R106" s="2">
        <v>463</v>
      </c>
      <c r="S106" s="2">
        <v>34398</v>
      </c>
      <c r="T106" s="29">
        <v>43.21</v>
      </c>
      <c r="U106" s="2">
        <v>8735</v>
      </c>
      <c r="V106" s="21">
        <v>14</v>
      </c>
      <c r="W106" s="21">
        <v>14</v>
      </c>
      <c r="X106" s="21">
        <v>0</v>
      </c>
      <c r="Y106" s="21">
        <v>9</v>
      </c>
      <c r="Z106" s="22">
        <f t="shared" si="6"/>
        <v>9.0196078431372548</v>
      </c>
      <c r="AA106" s="22">
        <f t="shared" si="7"/>
        <v>100</v>
      </c>
      <c r="AB106" s="29">
        <v>97</v>
      </c>
      <c r="AC106" s="2">
        <v>671</v>
      </c>
      <c r="AD106" s="2">
        <v>21</v>
      </c>
      <c r="AE106" s="2">
        <v>0</v>
      </c>
      <c r="AF106" s="2">
        <v>0</v>
      </c>
      <c r="AG106" s="6">
        <v>3715</v>
      </c>
      <c r="AH106" s="2">
        <v>3678</v>
      </c>
      <c r="AI106" s="12" t="s">
        <v>442</v>
      </c>
      <c r="AJ106" s="38">
        <v>95.847804878048805</v>
      </c>
      <c r="AK106" s="29">
        <v>53.028926587235503</v>
      </c>
      <c r="AL106" s="29">
        <v>17.329499187551601</v>
      </c>
      <c r="AM106" s="29">
        <v>29.431903775756801</v>
      </c>
      <c r="AN106" s="2">
        <v>5</v>
      </c>
      <c r="AO106" s="13" t="s">
        <v>443</v>
      </c>
      <c r="AP106" s="41" t="s">
        <v>22</v>
      </c>
      <c r="AQ106" s="13" t="s">
        <v>443</v>
      </c>
      <c r="AR106" s="13" t="s">
        <v>443</v>
      </c>
      <c r="AS106" s="13" t="s">
        <v>444</v>
      </c>
      <c r="AU106" s="2" t="s">
        <v>672</v>
      </c>
      <c r="AV106" s="29">
        <v>90.4</v>
      </c>
    </row>
    <row r="107" spans="1:48" x14ac:dyDescent="0.2">
      <c r="A107" s="12" t="s">
        <v>872</v>
      </c>
      <c r="B107" s="2" t="s">
        <v>990</v>
      </c>
      <c r="C107" s="32">
        <v>61</v>
      </c>
      <c r="D107" s="45" t="s">
        <v>22</v>
      </c>
      <c r="E107" s="46">
        <v>24</v>
      </c>
      <c r="F107" s="41" t="s">
        <v>101</v>
      </c>
      <c r="G107" s="41" t="s">
        <v>871</v>
      </c>
      <c r="H107" s="2" t="s">
        <v>28</v>
      </c>
      <c r="I107" s="2">
        <v>1</v>
      </c>
      <c r="J107" s="2">
        <v>0</v>
      </c>
      <c r="K107" s="2">
        <v>1</v>
      </c>
      <c r="L107" s="2" t="s">
        <v>22</v>
      </c>
      <c r="M107" s="17">
        <v>10.210000000000001</v>
      </c>
      <c r="N107" s="17">
        <v>8.9700000000000006</v>
      </c>
      <c r="O107" s="17">
        <v>8.1999999999999993</v>
      </c>
      <c r="P107" s="6">
        <v>1636</v>
      </c>
      <c r="Q107" s="6">
        <v>886</v>
      </c>
      <c r="R107" s="6">
        <v>690</v>
      </c>
      <c r="S107" s="6">
        <v>52378</v>
      </c>
      <c r="T107" s="18">
        <v>50.45</v>
      </c>
      <c r="U107" s="6">
        <v>11237</v>
      </c>
      <c r="V107" s="21">
        <v>68</v>
      </c>
      <c r="W107" s="21">
        <v>66</v>
      </c>
      <c r="X107" s="21">
        <v>2</v>
      </c>
      <c r="Y107" s="21">
        <v>17</v>
      </c>
      <c r="Z107" s="22">
        <f t="shared" si="6"/>
        <v>33.333333333333336</v>
      </c>
      <c r="AA107" s="22">
        <f t="shared" si="7"/>
        <v>97.058823529411768</v>
      </c>
      <c r="AB107" s="18">
        <v>99.4</v>
      </c>
      <c r="AC107" s="6">
        <v>881</v>
      </c>
      <c r="AD107" s="6">
        <v>5</v>
      </c>
      <c r="AE107" s="6">
        <v>0</v>
      </c>
      <c r="AF107" s="6">
        <v>0</v>
      </c>
      <c r="AG107" s="7">
        <v>3935</v>
      </c>
      <c r="AH107" s="6">
        <v>3932</v>
      </c>
      <c r="AI107" s="5" t="s">
        <v>102</v>
      </c>
      <c r="AJ107" s="38">
        <v>30.641167116711699</v>
      </c>
      <c r="AK107" s="29">
        <v>50.678718587766298</v>
      </c>
      <c r="AL107" s="29">
        <v>11.4584085052524</v>
      </c>
      <c r="AM107" s="29">
        <v>37.737489817825903</v>
      </c>
      <c r="AN107" s="2">
        <v>4</v>
      </c>
      <c r="AO107" s="13" t="s">
        <v>103</v>
      </c>
      <c r="AP107" s="41" t="s">
        <v>22</v>
      </c>
      <c r="AQ107" s="13" t="s">
        <v>103</v>
      </c>
      <c r="AR107" s="13" t="s">
        <v>103</v>
      </c>
      <c r="AS107" s="13" t="s">
        <v>103</v>
      </c>
      <c r="AU107" s="2" t="s">
        <v>699</v>
      </c>
      <c r="AV107" s="2">
        <v>99.7</v>
      </c>
    </row>
    <row r="108" spans="1:48" x14ac:dyDescent="0.2">
      <c r="A108" s="12" t="s">
        <v>851</v>
      </c>
      <c r="B108" s="2" t="s">
        <v>990</v>
      </c>
      <c r="C108" s="32">
        <v>58</v>
      </c>
      <c r="D108" s="45" t="s">
        <v>22</v>
      </c>
      <c r="E108" s="46">
        <v>21</v>
      </c>
      <c r="F108" s="41" t="s">
        <v>98</v>
      </c>
      <c r="G108" s="41" t="s">
        <v>57</v>
      </c>
      <c r="H108" s="2" t="s">
        <v>21</v>
      </c>
      <c r="I108" s="2">
        <v>1</v>
      </c>
      <c r="J108" s="2">
        <v>0</v>
      </c>
      <c r="K108" s="2">
        <v>1</v>
      </c>
      <c r="L108" s="2" t="s">
        <v>22</v>
      </c>
      <c r="M108" s="17">
        <v>7.86</v>
      </c>
      <c r="N108" s="17">
        <v>6.36</v>
      </c>
      <c r="O108" s="17">
        <v>5.18</v>
      </c>
      <c r="P108" s="6">
        <v>1737</v>
      </c>
      <c r="Q108" s="6">
        <v>847</v>
      </c>
      <c r="R108" s="6">
        <v>547</v>
      </c>
      <c r="S108" s="6">
        <v>37332</v>
      </c>
      <c r="T108" s="18">
        <v>55.87</v>
      </c>
      <c r="U108" s="6">
        <v>7045</v>
      </c>
      <c r="V108" s="21">
        <v>27</v>
      </c>
      <c r="W108" s="21">
        <v>26</v>
      </c>
      <c r="X108" s="21">
        <v>1</v>
      </c>
      <c r="Y108" s="21">
        <v>9</v>
      </c>
      <c r="Z108" s="22">
        <f t="shared" si="6"/>
        <v>14.117647058823529</v>
      </c>
      <c r="AA108" s="22">
        <f t="shared" si="7"/>
        <v>96.296296296296291</v>
      </c>
      <c r="AB108" s="18">
        <v>99.8</v>
      </c>
      <c r="AC108" s="6">
        <v>845</v>
      </c>
      <c r="AD108" s="6">
        <v>1</v>
      </c>
      <c r="AE108" s="6">
        <v>1</v>
      </c>
      <c r="AF108" s="6">
        <v>0</v>
      </c>
      <c r="AG108" s="7">
        <v>3046</v>
      </c>
      <c r="AH108" s="6">
        <v>3014</v>
      </c>
      <c r="AI108" s="5" t="s">
        <v>99</v>
      </c>
      <c r="AJ108" s="38">
        <v>55.6665580736544</v>
      </c>
      <c r="AK108" s="29">
        <v>44.706249957061701</v>
      </c>
      <c r="AL108" s="29">
        <v>29.6379138328458</v>
      </c>
      <c r="AM108" s="29">
        <v>25.514209837562198</v>
      </c>
      <c r="AN108" s="2">
        <v>5</v>
      </c>
      <c r="AO108" s="13" t="s">
        <v>100</v>
      </c>
      <c r="AP108" s="41" t="s">
        <v>22</v>
      </c>
      <c r="AQ108" s="13" t="s">
        <v>100</v>
      </c>
      <c r="AR108" s="13" t="s">
        <v>100</v>
      </c>
      <c r="AS108" s="13" t="s">
        <v>100</v>
      </c>
      <c r="AU108" s="2" t="s">
        <v>671</v>
      </c>
      <c r="AV108" s="2">
        <v>93.5</v>
      </c>
    </row>
    <row r="109" spans="1:48" x14ac:dyDescent="0.2">
      <c r="A109" s="12" t="s">
        <v>561</v>
      </c>
      <c r="B109" s="2" t="s">
        <v>987</v>
      </c>
      <c r="C109" s="32">
        <v>96</v>
      </c>
      <c r="D109" s="45" t="s">
        <v>22</v>
      </c>
      <c r="E109" s="46">
        <v>62</v>
      </c>
      <c r="F109" s="41" t="s">
        <v>653</v>
      </c>
      <c r="G109" s="41" t="s">
        <v>105</v>
      </c>
      <c r="H109" s="2" t="s">
        <v>86</v>
      </c>
      <c r="I109" s="2">
        <v>1</v>
      </c>
      <c r="J109" s="2">
        <v>0</v>
      </c>
      <c r="K109" s="2">
        <v>1</v>
      </c>
      <c r="L109" s="2" t="s">
        <v>22</v>
      </c>
      <c r="M109" s="17">
        <v>4.16</v>
      </c>
      <c r="N109" s="17">
        <v>3.59</v>
      </c>
      <c r="O109" s="17">
        <v>3.15</v>
      </c>
      <c r="P109" s="6">
        <v>746</v>
      </c>
      <c r="Q109" s="6">
        <v>413</v>
      </c>
      <c r="R109" s="6">
        <v>301</v>
      </c>
      <c r="S109" s="6">
        <v>43928</v>
      </c>
      <c r="T109" s="18">
        <v>48.28</v>
      </c>
      <c r="U109" s="6">
        <v>8708</v>
      </c>
      <c r="V109" s="21">
        <v>48</v>
      </c>
      <c r="W109" s="21">
        <v>48</v>
      </c>
      <c r="X109" s="21">
        <v>0</v>
      </c>
      <c r="Y109" s="21">
        <v>18</v>
      </c>
      <c r="Z109" s="22">
        <f t="shared" si="6"/>
        <v>25.882352941176471</v>
      </c>
      <c r="AA109" s="22">
        <f t="shared" si="7"/>
        <v>100</v>
      </c>
      <c r="AB109" s="18">
        <v>98.3</v>
      </c>
      <c r="AC109" s="6">
        <v>406</v>
      </c>
      <c r="AD109" s="6">
        <v>2</v>
      </c>
      <c r="AE109" s="6">
        <v>2</v>
      </c>
      <c r="AF109" s="6">
        <v>3</v>
      </c>
      <c r="AG109" s="7">
        <v>2583</v>
      </c>
      <c r="AH109" s="6">
        <v>2579</v>
      </c>
      <c r="AI109" s="5" t="s">
        <v>249</v>
      </c>
      <c r="AJ109" s="38">
        <v>16.061101236475999</v>
      </c>
      <c r="AK109" s="29">
        <v>80.096487212064204</v>
      </c>
      <c r="AL109" s="29">
        <v>2.8947366521732998</v>
      </c>
      <c r="AM109" s="29">
        <v>16.798436611731699</v>
      </c>
      <c r="AN109" s="2">
        <v>1</v>
      </c>
      <c r="AO109" s="13" t="s">
        <v>250</v>
      </c>
      <c r="AP109" s="41" t="s">
        <v>22</v>
      </c>
      <c r="AQ109" s="13" t="s">
        <v>250</v>
      </c>
      <c r="AR109" s="13" t="s">
        <v>250</v>
      </c>
      <c r="AS109" s="13" t="s">
        <v>250</v>
      </c>
      <c r="AU109" s="2" t="s">
        <v>248</v>
      </c>
      <c r="AV109" s="29">
        <v>100</v>
      </c>
    </row>
    <row r="110" spans="1:48" x14ac:dyDescent="0.2">
      <c r="A110" s="12" t="s">
        <v>549</v>
      </c>
      <c r="B110" s="2" t="s">
        <v>987</v>
      </c>
      <c r="C110" s="32">
        <v>111</v>
      </c>
      <c r="D110" s="45" t="s">
        <v>22</v>
      </c>
      <c r="E110" s="46">
        <v>78</v>
      </c>
      <c r="F110" s="41" t="s">
        <v>152</v>
      </c>
      <c r="G110" s="41" t="s">
        <v>120</v>
      </c>
      <c r="H110" s="2" t="s">
        <v>121</v>
      </c>
      <c r="I110" s="2">
        <v>1</v>
      </c>
      <c r="J110" s="2">
        <v>0</v>
      </c>
      <c r="K110" s="2">
        <v>1</v>
      </c>
      <c r="L110" s="2" t="s">
        <v>22</v>
      </c>
      <c r="M110" s="17">
        <v>42</v>
      </c>
      <c r="N110" s="17">
        <v>33.81</v>
      </c>
      <c r="O110" s="17">
        <v>29.86</v>
      </c>
      <c r="P110" s="6">
        <v>8001</v>
      </c>
      <c r="Q110" s="6">
        <v>3063</v>
      </c>
      <c r="R110" s="6">
        <v>2044</v>
      </c>
      <c r="S110" s="6">
        <v>100914</v>
      </c>
      <c r="T110" s="18">
        <v>66.849999999999994</v>
      </c>
      <c r="U110" s="6">
        <v>11681</v>
      </c>
      <c r="V110" s="21">
        <v>81</v>
      </c>
      <c r="W110" s="21">
        <v>81</v>
      </c>
      <c r="X110" s="21">
        <v>0</v>
      </c>
      <c r="Y110" s="21">
        <v>22</v>
      </c>
      <c r="Z110" s="22">
        <f t="shared" si="6"/>
        <v>40.392156862745097</v>
      </c>
      <c r="AA110" s="22">
        <f t="shared" si="7"/>
        <v>100</v>
      </c>
      <c r="AB110" s="18">
        <v>97.6</v>
      </c>
      <c r="AC110" s="6">
        <v>2989</v>
      </c>
      <c r="AD110" s="6">
        <v>74</v>
      </c>
      <c r="AE110" s="6">
        <v>0</v>
      </c>
      <c r="AF110" s="6">
        <v>0</v>
      </c>
      <c r="AG110" s="7">
        <v>20042</v>
      </c>
      <c r="AH110" s="6">
        <v>20009</v>
      </c>
      <c r="AI110" s="5" t="s">
        <v>291</v>
      </c>
      <c r="AJ110" s="38">
        <v>103.98861351819799</v>
      </c>
      <c r="AK110" s="29">
        <v>64.820662250406798</v>
      </c>
      <c r="AL110" s="29">
        <v>13.7797882483801</v>
      </c>
      <c r="AM110" s="29">
        <v>21.242153252490301</v>
      </c>
      <c r="AN110" s="2">
        <v>3</v>
      </c>
      <c r="AO110" s="13" t="s">
        <v>292</v>
      </c>
      <c r="AP110" s="41" t="s">
        <v>22</v>
      </c>
      <c r="AQ110" s="13" t="s">
        <v>292</v>
      </c>
      <c r="AR110" s="13" t="s">
        <v>292</v>
      </c>
      <c r="AS110" s="13" t="s">
        <v>292</v>
      </c>
      <c r="AU110" s="2" t="s">
        <v>628</v>
      </c>
      <c r="AV110" s="2">
        <v>98.7</v>
      </c>
    </row>
    <row r="111" spans="1:48" x14ac:dyDescent="0.2">
      <c r="A111" s="12" t="s">
        <v>846</v>
      </c>
      <c r="B111" s="2" t="s">
        <v>987</v>
      </c>
      <c r="C111" s="32">
        <v>106</v>
      </c>
      <c r="D111" s="45" t="s">
        <v>22</v>
      </c>
      <c r="E111" s="46">
        <v>73</v>
      </c>
      <c r="F111" s="41" t="s">
        <v>621</v>
      </c>
      <c r="G111" s="41" t="s">
        <v>120</v>
      </c>
      <c r="H111" s="2" t="s">
        <v>121</v>
      </c>
      <c r="I111" s="2">
        <v>2</v>
      </c>
      <c r="J111" s="2">
        <v>0</v>
      </c>
      <c r="K111" s="16">
        <v>2</v>
      </c>
      <c r="L111" s="16">
        <v>2</v>
      </c>
      <c r="M111" s="38">
        <v>77.459999999999994</v>
      </c>
      <c r="N111" s="38">
        <v>57.79</v>
      </c>
      <c r="O111" s="38">
        <v>46.05</v>
      </c>
      <c r="P111" s="2">
        <v>19008</v>
      </c>
      <c r="Q111" s="2">
        <v>7254</v>
      </c>
      <c r="R111" s="2">
        <v>4216</v>
      </c>
      <c r="S111" s="2">
        <v>63443</v>
      </c>
      <c r="T111" s="29">
        <v>60.33</v>
      </c>
      <c r="U111" s="2">
        <v>6670</v>
      </c>
      <c r="V111" s="21">
        <v>147</v>
      </c>
      <c r="W111" s="21">
        <v>144</v>
      </c>
      <c r="X111" s="21">
        <v>3</v>
      </c>
      <c r="Y111" s="21">
        <v>28</v>
      </c>
      <c r="Z111" s="22">
        <f t="shared" si="6"/>
        <v>68.627450980392155</v>
      </c>
      <c r="AA111" s="22">
        <f t="shared" si="7"/>
        <v>97.959183673469383</v>
      </c>
      <c r="AB111" s="29">
        <v>99.1</v>
      </c>
      <c r="AC111" s="2">
        <v>7192</v>
      </c>
      <c r="AD111" s="2">
        <v>56</v>
      </c>
      <c r="AE111" s="2">
        <v>1</v>
      </c>
      <c r="AF111" s="2">
        <v>5</v>
      </c>
      <c r="AG111" s="2">
        <v>33764</v>
      </c>
      <c r="AH111" s="2">
        <v>33734</v>
      </c>
      <c r="AI111" s="5" t="s">
        <v>280</v>
      </c>
      <c r="AJ111" s="38">
        <v>112.87314876876</v>
      </c>
      <c r="AK111" s="29">
        <v>62.834014429410402</v>
      </c>
      <c r="AL111" s="29">
        <v>2.8821087636117602</v>
      </c>
      <c r="AM111" s="29">
        <v>34.144097266731698</v>
      </c>
      <c r="AN111" s="2">
        <v>4</v>
      </c>
      <c r="AO111" s="13" t="s">
        <v>958</v>
      </c>
      <c r="AP111" s="41" t="s">
        <v>22</v>
      </c>
      <c r="AQ111" s="13" t="s">
        <v>958</v>
      </c>
      <c r="AR111" s="13" t="s">
        <v>958</v>
      </c>
      <c r="AS111" s="13" t="s">
        <v>958</v>
      </c>
      <c r="AU111" s="2" t="s">
        <v>628</v>
      </c>
      <c r="AV111" s="2" t="s">
        <v>725</v>
      </c>
    </row>
    <row r="112" spans="1:48" x14ac:dyDescent="0.2">
      <c r="A112" s="12" t="s">
        <v>568</v>
      </c>
      <c r="B112" s="2" t="s">
        <v>987</v>
      </c>
      <c r="C112" s="32">
        <v>128</v>
      </c>
      <c r="D112" s="45" t="s">
        <v>22</v>
      </c>
      <c r="E112" s="46">
        <v>96</v>
      </c>
      <c r="F112" s="41" t="s">
        <v>629</v>
      </c>
      <c r="G112" s="41" t="s">
        <v>120</v>
      </c>
      <c r="H112" s="2" t="s">
        <v>121</v>
      </c>
      <c r="I112" s="2">
        <v>1</v>
      </c>
      <c r="J112" s="2">
        <v>0</v>
      </c>
      <c r="K112" s="2">
        <v>1</v>
      </c>
      <c r="L112" s="2" t="s">
        <v>22</v>
      </c>
      <c r="M112" s="17">
        <v>26.07</v>
      </c>
      <c r="N112" s="17">
        <v>21.04</v>
      </c>
      <c r="O112" s="17">
        <v>18.47</v>
      </c>
      <c r="P112" s="6">
        <v>5092</v>
      </c>
      <c r="Q112" s="6">
        <v>2005</v>
      </c>
      <c r="R112" s="6">
        <v>1338</v>
      </c>
      <c r="S112" s="6">
        <v>109955</v>
      </c>
      <c r="T112" s="18">
        <v>65.34</v>
      </c>
      <c r="U112" s="6">
        <v>11087</v>
      </c>
      <c r="V112" s="21">
        <v>68</v>
      </c>
      <c r="W112" s="21">
        <v>68</v>
      </c>
      <c r="X112" s="21">
        <v>0</v>
      </c>
      <c r="Y112" s="21">
        <v>18</v>
      </c>
      <c r="Z112" s="22">
        <f t="shared" si="6"/>
        <v>33.725490196078432</v>
      </c>
      <c r="AA112" s="22">
        <f t="shared" si="7"/>
        <v>100</v>
      </c>
      <c r="AB112" s="18">
        <v>99.7</v>
      </c>
      <c r="AC112" s="6">
        <v>1998</v>
      </c>
      <c r="AD112" s="6">
        <v>4</v>
      </c>
      <c r="AE112" s="6">
        <v>0</v>
      </c>
      <c r="AF112" s="6">
        <v>3</v>
      </c>
      <c r="AG112" s="7">
        <v>12902</v>
      </c>
      <c r="AH112" s="6">
        <v>12889</v>
      </c>
      <c r="AI112" s="5" t="s">
        <v>342</v>
      </c>
      <c r="AJ112" s="38">
        <v>77.300115624073499</v>
      </c>
      <c r="AK112" s="29">
        <v>67.792052944217403</v>
      </c>
      <c r="AL112" s="29">
        <v>6.2604357119108203</v>
      </c>
      <c r="AM112" s="29">
        <v>25.779941640747101</v>
      </c>
      <c r="AN112" s="2">
        <v>2</v>
      </c>
      <c r="AO112" s="13" t="s">
        <v>966</v>
      </c>
      <c r="AP112" s="41" t="s">
        <v>22</v>
      </c>
      <c r="AQ112" s="13" t="s">
        <v>966</v>
      </c>
      <c r="AR112" s="13" t="s">
        <v>966</v>
      </c>
      <c r="AS112" s="13" t="s">
        <v>966</v>
      </c>
      <c r="AU112" s="2" t="s">
        <v>731</v>
      </c>
      <c r="AV112" s="2">
        <v>98.3</v>
      </c>
    </row>
    <row r="113" spans="1:48" x14ac:dyDescent="0.2">
      <c r="A113" s="12" t="s">
        <v>852</v>
      </c>
      <c r="B113" s="2" t="s">
        <v>986</v>
      </c>
      <c r="C113" s="32">
        <v>147</v>
      </c>
      <c r="D113" s="45" t="s">
        <v>22</v>
      </c>
      <c r="E113" s="46">
        <v>116</v>
      </c>
      <c r="F113" s="41" t="s">
        <v>403</v>
      </c>
      <c r="G113" s="41" t="s">
        <v>85</v>
      </c>
      <c r="H113" s="2" t="s">
        <v>86</v>
      </c>
      <c r="I113" s="2">
        <v>1</v>
      </c>
      <c r="J113" s="2">
        <v>0</v>
      </c>
      <c r="K113" s="2">
        <v>1</v>
      </c>
      <c r="L113" s="2" t="s">
        <v>22</v>
      </c>
      <c r="M113" s="17">
        <v>6.42</v>
      </c>
      <c r="N113" s="17">
        <v>0.1</v>
      </c>
      <c r="O113" s="17">
        <v>0</v>
      </c>
      <c r="P113" s="6">
        <v>4759</v>
      </c>
      <c r="Q113" s="6">
        <v>29</v>
      </c>
      <c r="R113" s="6">
        <v>0</v>
      </c>
      <c r="S113" s="6">
        <v>4556</v>
      </c>
      <c r="T113" s="18">
        <v>53.36</v>
      </c>
      <c r="U113" s="6">
        <v>1308</v>
      </c>
      <c r="V113" s="21">
        <v>11</v>
      </c>
      <c r="W113" s="21">
        <v>11</v>
      </c>
      <c r="X113" s="21">
        <v>0</v>
      </c>
      <c r="Y113" s="21">
        <v>8</v>
      </c>
      <c r="Z113" s="22">
        <f t="shared" si="6"/>
        <v>7.4509803921568629</v>
      </c>
      <c r="AA113" s="22">
        <f t="shared" si="7"/>
        <v>100</v>
      </c>
      <c r="AB113" s="18">
        <v>96.6</v>
      </c>
      <c r="AC113" s="6">
        <v>28</v>
      </c>
      <c r="AD113" s="6">
        <v>0</v>
      </c>
      <c r="AE113" s="6">
        <v>1</v>
      </c>
      <c r="AF113" s="6">
        <v>0</v>
      </c>
      <c r="AG113" s="6">
        <v>2813</v>
      </c>
      <c r="AH113" s="6">
        <v>2812</v>
      </c>
      <c r="AI113" s="5" t="s">
        <v>404</v>
      </c>
      <c r="AJ113" s="38">
        <v>86.227530201342304</v>
      </c>
      <c r="AK113" s="29">
        <v>44.5831700771068</v>
      </c>
      <c r="AL113" s="29">
        <v>3.9535793470404701</v>
      </c>
      <c r="AM113" s="29">
        <v>51.098755267591599</v>
      </c>
      <c r="AN113" s="2">
        <v>4</v>
      </c>
      <c r="AO113" s="13" t="s">
        <v>405</v>
      </c>
      <c r="AP113" s="41" t="s">
        <v>22</v>
      </c>
      <c r="AQ113" s="13" t="s">
        <v>405</v>
      </c>
      <c r="AR113" s="13" t="s">
        <v>405</v>
      </c>
      <c r="AS113" s="13" t="s">
        <v>405</v>
      </c>
      <c r="AU113" s="2" t="s">
        <v>690</v>
      </c>
      <c r="AV113" s="29">
        <v>96.1</v>
      </c>
    </row>
    <row r="114" spans="1:48" x14ac:dyDescent="0.2">
      <c r="A114" s="12" t="s">
        <v>853</v>
      </c>
      <c r="B114" s="2" t="s">
        <v>990</v>
      </c>
      <c r="C114" s="32">
        <v>49</v>
      </c>
      <c r="D114" s="45" t="s">
        <v>22</v>
      </c>
      <c r="E114" s="46">
        <v>11</v>
      </c>
      <c r="F114" s="41" t="s">
        <v>529</v>
      </c>
      <c r="G114" s="41" t="s">
        <v>43</v>
      </c>
      <c r="H114" s="2" t="s">
        <v>38</v>
      </c>
      <c r="I114" s="2">
        <v>1</v>
      </c>
      <c r="J114" s="2">
        <v>0</v>
      </c>
      <c r="K114" s="2">
        <v>1</v>
      </c>
      <c r="L114" s="2" t="s">
        <v>22</v>
      </c>
      <c r="M114" s="17">
        <v>10.38</v>
      </c>
      <c r="N114" s="17">
        <v>9.23</v>
      </c>
      <c r="O114" s="17">
        <v>8.52</v>
      </c>
      <c r="P114" s="6">
        <v>1380</v>
      </c>
      <c r="Q114" s="6">
        <v>668</v>
      </c>
      <c r="R114" s="6">
        <v>487</v>
      </c>
      <c r="S114" s="6">
        <v>105791</v>
      </c>
      <c r="T114" s="18">
        <v>44.63</v>
      </c>
      <c r="U114" s="6">
        <v>18694</v>
      </c>
      <c r="V114" s="21">
        <v>43</v>
      </c>
      <c r="W114" s="21">
        <v>42</v>
      </c>
      <c r="X114" s="21">
        <v>1</v>
      </c>
      <c r="Y114" s="21">
        <v>11</v>
      </c>
      <c r="Z114" s="22">
        <f t="shared" si="6"/>
        <v>21.176470588235293</v>
      </c>
      <c r="AA114" s="22">
        <f t="shared" si="7"/>
        <v>97.674418604651166</v>
      </c>
      <c r="AB114" s="18">
        <v>99.7</v>
      </c>
      <c r="AC114" s="6">
        <v>666</v>
      </c>
      <c r="AD114" s="6">
        <v>2</v>
      </c>
      <c r="AE114" s="6">
        <v>0</v>
      </c>
      <c r="AF114" s="6">
        <v>0</v>
      </c>
      <c r="AG114" s="7">
        <v>4156</v>
      </c>
      <c r="AH114" s="6">
        <v>4140</v>
      </c>
      <c r="AI114" s="5" t="s">
        <v>64</v>
      </c>
      <c r="AJ114" s="38">
        <v>48.987001888574099</v>
      </c>
      <c r="AK114" s="29">
        <v>74.450585116959303</v>
      </c>
      <c r="AL114" s="29">
        <v>2.4516148557262198</v>
      </c>
      <c r="AM114" s="29">
        <v>22.968022486163701</v>
      </c>
      <c r="AN114" s="2">
        <v>2</v>
      </c>
      <c r="AO114" s="13" t="s">
        <v>597</v>
      </c>
      <c r="AP114" s="41" t="s">
        <v>22</v>
      </c>
      <c r="AQ114" s="13" t="s">
        <v>597</v>
      </c>
      <c r="AR114" s="13" t="s">
        <v>597</v>
      </c>
      <c r="AS114" s="13" t="s">
        <v>597</v>
      </c>
      <c r="AU114" s="2" t="s">
        <v>696</v>
      </c>
      <c r="AV114" s="29">
        <v>93</v>
      </c>
    </row>
    <row r="115" spans="1:48" x14ac:dyDescent="0.2">
      <c r="A115" s="12" t="s">
        <v>544</v>
      </c>
      <c r="B115" s="2" t="s">
        <v>993</v>
      </c>
      <c r="C115" s="32">
        <v>27</v>
      </c>
      <c r="D115" s="45">
        <v>32</v>
      </c>
      <c r="E115" s="45" t="s">
        <v>22</v>
      </c>
      <c r="F115" s="41" t="s">
        <v>471</v>
      </c>
      <c r="G115" s="41" t="s">
        <v>137</v>
      </c>
      <c r="H115" s="2" t="s">
        <v>38</v>
      </c>
      <c r="I115" s="2">
        <v>1</v>
      </c>
      <c r="J115" s="2">
        <v>1</v>
      </c>
      <c r="K115" s="2">
        <v>0</v>
      </c>
      <c r="L115" s="2" t="s">
        <v>22</v>
      </c>
      <c r="M115" s="38">
        <v>10.59</v>
      </c>
      <c r="N115" s="38">
        <v>8.23</v>
      </c>
      <c r="O115" s="38">
        <v>6.84</v>
      </c>
      <c r="P115" s="2">
        <v>2459</v>
      </c>
      <c r="Q115" s="2">
        <v>1005</v>
      </c>
      <c r="R115" s="2">
        <v>642</v>
      </c>
      <c r="S115" s="2">
        <v>48084</v>
      </c>
      <c r="T115" s="29">
        <v>56.78</v>
      </c>
      <c r="U115" s="2">
        <v>7561</v>
      </c>
      <c r="V115" s="21">
        <v>25</v>
      </c>
      <c r="W115" s="21">
        <v>25</v>
      </c>
      <c r="X115" s="21">
        <v>0</v>
      </c>
      <c r="Y115" s="21">
        <v>15</v>
      </c>
      <c r="Z115" s="22">
        <f t="shared" si="6"/>
        <v>15.686274509803921</v>
      </c>
      <c r="AA115" s="22">
        <f t="shared" si="7"/>
        <v>100</v>
      </c>
      <c r="AB115" s="29">
        <v>99.2</v>
      </c>
      <c r="AC115" s="2">
        <v>997</v>
      </c>
      <c r="AD115" s="2">
        <v>7</v>
      </c>
      <c r="AE115" s="2">
        <v>1</v>
      </c>
      <c r="AF115" s="2">
        <v>0</v>
      </c>
      <c r="AG115" s="6">
        <v>4562</v>
      </c>
      <c r="AH115" s="2">
        <v>4538</v>
      </c>
      <c r="AI115" s="12" t="s">
        <v>472</v>
      </c>
      <c r="AJ115" s="38">
        <v>67.496309751433998</v>
      </c>
      <c r="AK115" s="29">
        <v>64.962152169214306</v>
      </c>
      <c r="AL115" s="29">
        <v>8.3129724723047396</v>
      </c>
      <c r="AM115" s="29">
        <v>26.557956429598701</v>
      </c>
      <c r="AN115" s="2">
        <v>2</v>
      </c>
      <c r="AO115" s="13" t="s">
        <v>473</v>
      </c>
      <c r="AP115" s="41" t="s">
        <v>22</v>
      </c>
      <c r="AQ115" s="13" t="s">
        <v>473</v>
      </c>
      <c r="AR115" s="13" t="s">
        <v>473</v>
      </c>
      <c r="AS115" s="13" t="s">
        <v>474</v>
      </c>
      <c r="AU115" s="2" t="s">
        <v>676</v>
      </c>
      <c r="AV115" s="29">
        <v>94.8</v>
      </c>
    </row>
    <row r="116" spans="1:48" x14ac:dyDescent="0.2">
      <c r="A116" s="12" t="s">
        <v>848</v>
      </c>
      <c r="B116" s="2" t="s">
        <v>986</v>
      </c>
      <c r="C116" s="32">
        <v>133</v>
      </c>
      <c r="D116" s="45" t="s">
        <v>22</v>
      </c>
      <c r="E116" s="46">
        <v>101</v>
      </c>
      <c r="F116" s="41" t="s">
        <v>659</v>
      </c>
      <c r="G116" s="41" t="s">
        <v>354</v>
      </c>
      <c r="H116" s="2" t="s">
        <v>883</v>
      </c>
      <c r="I116" s="2">
        <v>1</v>
      </c>
      <c r="J116" s="2">
        <v>0</v>
      </c>
      <c r="K116" s="2">
        <v>1</v>
      </c>
      <c r="L116" s="2" t="s">
        <v>22</v>
      </c>
      <c r="M116" s="17">
        <v>31.62</v>
      </c>
      <c r="N116" s="17">
        <v>10.82</v>
      </c>
      <c r="O116" s="17">
        <v>2.78</v>
      </c>
      <c r="P116" s="6">
        <v>14855</v>
      </c>
      <c r="Q116" s="6">
        <v>2606</v>
      </c>
      <c r="R116" s="6">
        <v>448</v>
      </c>
      <c r="S116" s="6">
        <v>11442</v>
      </c>
      <c r="T116" s="18">
        <v>54.04</v>
      </c>
      <c r="U116" s="6">
        <v>2335</v>
      </c>
      <c r="V116" s="21">
        <v>73</v>
      </c>
      <c r="W116" s="21">
        <v>72</v>
      </c>
      <c r="X116" s="21">
        <v>1</v>
      </c>
      <c r="Y116" s="21">
        <v>33</v>
      </c>
      <c r="Z116" s="22">
        <f t="shared" si="6"/>
        <v>41.568627450980394</v>
      </c>
      <c r="AA116" s="22">
        <f t="shared" si="7"/>
        <v>98.630136986301366</v>
      </c>
      <c r="AB116" s="18">
        <v>99.3</v>
      </c>
      <c r="AC116" s="6">
        <v>2589</v>
      </c>
      <c r="AD116" s="6">
        <v>16</v>
      </c>
      <c r="AE116" s="6">
        <v>1</v>
      </c>
      <c r="AF116" s="6">
        <v>0</v>
      </c>
      <c r="AG116" s="6">
        <v>20771</v>
      </c>
      <c r="AH116" s="6">
        <v>20722</v>
      </c>
      <c r="AI116" s="5" t="s">
        <v>355</v>
      </c>
      <c r="AJ116" s="38">
        <v>76.066136636997797</v>
      </c>
      <c r="AK116" s="29">
        <v>79.749166155213601</v>
      </c>
      <c r="AL116" s="29">
        <v>2.0405719760790801</v>
      </c>
      <c r="AM116" s="29">
        <v>17.9595779257589</v>
      </c>
      <c r="AN116" s="2">
        <v>1</v>
      </c>
      <c r="AO116" s="13" t="s">
        <v>969</v>
      </c>
      <c r="AP116" s="41" t="s">
        <v>22</v>
      </c>
      <c r="AQ116" s="13" t="s">
        <v>969</v>
      </c>
      <c r="AR116" s="13" t="s">
        <v>969</v>
      </c>
      <c r="AS116" s="13" t="s">
        <v>969</v>
      </c>
      <c r="AU116" s="2" t="s">
        <v>732</v>
      </c>
      <c r="AV116" s="29">
        <v>94.6</v>
      </c>
    </row>
    <row r="117" spans="1:48" x14ac:dyDescent="0.2">
      <c r="A117" s="12" t="s">
        <v>870</v>
      </c>
      <c r="B117" s="2" t="s">
        <v>986</v>
      </c>
      <c r="C117" s="32">
        <v>35</v>
      </c>
      <c r="D117" s="45">
        <v>40</v>
      </c>
      <c r="E117" s="45" t="s">
        <v>22</v>
      </c>
      <c r="F117" s="41" t="s">
        <v>520</v>
      </c>
      <c r="G117" s="41" t="s">
        <v>502</v>
      </c>
      <c r="H117" s="2" t="s">
        <v>38</v>
      </c>
      <c r="I117" s="2">
        <v>1</v>
      </c>
      <c r="J117" s="2">
        <v>1</v>
      </c>
      <c r="K117" s="2">
        <v>0</v>
      </c>
      <c r="L117" s="2" t="s">
        <v>22</v>
      </c>
      <c r="M117" s="38">
        <v>6.18</v>
      </c>
      <c r="N117" s="38">
        <v>3.84</v>
      </c>
      <c r="O117" s="38">
        <v>2.68</v>
      </c>
      <c r="P117" s="2">
        <v>2082</v>
      </c>
      <c r="Q117" s="2">
        <v>644</v>
      </c>
      <c r="R117" s="2">
        <v>343</v>
      </c>
      <c r="S117" s="2">
        <v>22140</v>
      </c>
      <c r="T117" s="29">
        <v>53.93</v>
      </c>
      <c r="U117" s="2">
        <v>4247</v>
      </c>
      <c r="V117" s="21">
        <v>4</v>
      </c>
      <c r="W117" s="21">
        <v>4</v>
      </c>
      <c r="X117" s="21">
        <v>0</v>
      </c>
      <c r="Y117" s="21">
        <v>7</v>
      </c>
      <c r="Z117" s="22">
        <f t="shared" si="6"/>
        <v>4.3137254901960782</v>
      </c>
      <c r="AA117" s="22">
        <f t="shared" si="7"/>
        <v>100</v>
      </c>
      <c r="AB117" s="29">
        <v>98.4</v>
      </c>
      <c r="AC117" s="2">
        <v>634</v>
      </c>
      <c r="AD117" s="2">
        <v>6</v>
      </c>
      <c r="AE117" s="2">
        <v>3</v>
      </c>
      <c r="AF117" s="2">
        <v>1</v>
      </c>
      <c r="AG117" s="6">
        <v>2535</v>
      </c>
      <c r="AH117" s="2">
        <v>2529</v>
      </c>
      <c r="AI117" s="12" t="s">
        <v>503</v>
      </c>
      <c r="AJ117" s="38">
        <v>143.44858468677501</v>
      </c>
      <c r="AK117" s="29">
        <v>61.788681005539097</v>
      </c>
      <c r="AL117" s="29">
        <v>8.1976225666924503</v>
      </c>
      <c r="AM117" s="29">
        <v>29.8262358729305</v>
      </c>
      <c r="AN117" s="2">
        <v>4</v>
      </c>
      <c r="AO117" s="13" t="s">
        <v>909</v>
      </c>
      <c r="AP117" s="41" t="s">
        <v>22</v>
      </c>
      <c r="AQ117" s="13" t="s">
        <v>504</v>
      </c>
      <c r="AR117" s="13" t="s">
        <v>504</v>
      </c>
      <c r="AS117" s="13" t="s">
        <v>504</v>
      </c>
      <c r="AU117" s="2" t="s">
        <v>689</v>
      </c>
      <c r="AV117" s="29">
        <v>87.5</v>
      </c>
    </row>
    <row r="118" spans="1:48" x14ac:dyDescent="0.2">
      <c r="A118" s="12" t="s">
        <v>854</v>
      </c>
      <c r="B118" s="2" t="s">
        <v>987</v>
      </c>
      <c r="C118" s="32">
        <v>94</v>
      </c>
      <c r="D118" s="45" t="s">
        <v>22</v>
      </c>
      <c r="E118" s="46">
        <v>60</v>
      </c>
      <c r="F118" s="41" t="s">
        <v>616</v>
      </c>
      <c r="G118" s="41" t="s">
        <v>242</v>
      </c>
      <c r="H118" s="2" t="s">
        <v>121</v>
      </c>
      <c r="I118" s="2">
        <v>1</v>
      </c>
      <c r="J118" s="2">
        <v>0</v>
      </c>
      <c r="K118" s="2">
        <v>1</v>
      </c>
      <c r="L118" s="2" t="s">
        <v>22</v>
      </c>
      <c r="M118" s="17">
        <v>6.12</v>
      </c>
      <c r="N118" s="17">
        <v>5.15</v>
      </c>
      <c r="O118" s="17">
        <v>4.5599999999999996</v>
      </c>
      <c r="P118" s="6">
        <v>1096</v>
      </c>
      <c r="Q118" s="6">
        <v>517</v>
      </c>
      <c r="R118" s="6">
        <v>363</v>
      </c>
      <c r="S118" s="6">
        <v>83173</v>
      </c>
      <c r="T118" s="18">
        <v>56.49</v>
      </c>
      <c r="U118" s="6">
        <v>10383</v>
      </c>
      <c r="V118" s="21">
        <v>31</v>
      </c>
      <c r="W118" s="21">
        <v>31</v>
      </c>
      <c r="X118" s="21">
        <v>0</v>
      </c>
      <c r="Y118" s="21">
        <v>7</v>
      </c>
      <c r="Z118" s="22">
        <f t="shared" si="6"/>
        <v>14.901960784313726</v>
      </c>
      <c r="AA118" s="22">
        <f t="shared" si="7"/>
        <v>100</v>
      </c>
      <c r="AB118" s="18">
        <v>99.2</v>
      </c>
      <c r="AC118" s="6">
        <v>513</v>
      </c>
      <c r="AD118" s="6">
        <v>2</v>
      </c>
      <c r="AE118" s="6">
        <v>0</v>
      </c>
      <c r="AF118" s="6">
        <v>2</v>
      </c>
      <c r="AG118" s="7">
        <v>2365</v>
      </c>
      <c r="AH118" s="6">
        <v>2362</v>
      </c>
      <c r="AI118" s="5" t="s">
        <v>243</v>
      </c>
      <c r="AJ118" s="38">
        <v>41.0480536912752</v>
      </c>
      <c r="AK118" s="29">
        <v>72.728950844974605</v>
      </c>
      <c r="AL118" s="29">
        <v>8.6288619002773004</v>
      </c>
      <c r="AM118" s="29">
        <v>18.493580939674601</v>
      </c>
      <c r="AN118" s="2">
        <v>2</v>
      </c>
      <c r="AO118" s="25" t="s">
        <v>244</v>
      </c>
      <c r="AP118" s="41" t="s">
        <v>22</v>
      </c>
      <c r="AQ118" s="25" t="s">
        <v>244</v>
      </c>
      <c r="AR118" s="25" t="s">
        <v>244</v>
      </c>
      <c r="AS118" s="25" t="s">
        <v>244</v>
      </c>
      <c r="AU118" s="2" t="s">
        <v>720</v>
      </c>
      <c r="AV118" s="2">
        <v>95.4</v>
      </c>
    </row>
    <row r="119" spans="1:48" x14ac:dyDescent="0.2">
      <c r="A119" s="12" t="s">
        <v>855</v>
      </c>
      <c r="B119" s="2" t="s">
        <v>987</v>
      </c>
      <c r="C119" s="32">
        <v>72</v>
      </c>
      <c r="D119" s="45" t="s">
        <v>22</v>
      </c>
      <c r="E119" s="46">
        <v>37</v>
      </c>
      <c r="F119" s="41" t="s">
        <v>290</v>
      </c>
      <c r="G119" s="41" t="s">
        <v>120</v>
      </c>
      <c r="H119" s="2" t="s">
        <v>121</v>
      </c>
      <c r="I119" s="2">
        <v>1</v>
      </c>
      <c r="J119" s="2">
        <v>0</v>
      </c>
      <c r="K119" s="2">
        <v>1</v>
      </c>
      <c r="L119" s="2" t="s">
        <v>22</v>
      </c>
      <c r="M119" s="17">
        <v>9.4</v>
      </c>
      <c r="N119" s="17">
        <v>8.39</v>
      </c>
      <c r="O119" s="17">
        <v>7.79</v>
      </c>
      <c r="P119" s="6">
        <v>1258</v>
      </c>
      <c r="Q119" s="6">
        <v>657</v>
      </c>
      <c r="R119" s="6">
        <v>500</v>
      </c>
      <c r="S119" s="6">
        <v>63048</v>
      </c>
      <c r="T119" s="18">
        <v>62.52</v>
      </c>
      <c r="U119" s="6">
        <v>16130</v>
      </c>
      <c r="V119" s="21">
        <v>33</v>
      </c>
      <c r="W119" s="21">
        <v>33</v>
      </c>
      <c r="X119" s="21">
        <v>0</v>
      </c>
      <c r="Y119" s="21">
        <v>10</v>
      </c>
      <c r="Z119" s="22">
        <f t="shared" si="6"/>
        <v>16.862745098039216</v>
      </c>
      <c r="AA119" s="22">
        <f t="shared" si="7"/>
        <v>100</v>
      </c>
      <c r="AB119" s="18">
        <v>99.2</v>
      </c>
      <c r="AC119" s="6">
        <v>652</v>
      </c>
      <c r="AD119" s="6">
        <v>4</v>
      </c>
      <c r="AE119" s="6">
        <v>0</v>
      </c>
      <c r="AF119" s="6">
        <v>1</v>
      </c>
      <c r="AG119" s="7">
        <v>4635</v>
      </c>
      <c r="AH119" s="6">
        <v>4631</v>
      </c>
      <c r="AI119" s="5" t="s">
        <v>153</v>
      </c>
      <c r="AJ119" s="38">
        <v>55.750551601423503</v>
      </c>
      <c r="AK119" s="29">
        <v>72.956525652364206</v>
      </c>
      <c r="AL119" s="29">
        <v>2.42459660006875</v>
      </c>
      <c r="AM119" s="29">
        <v>24.460370041394601</v>
      </c>
      <c r="AN119" s="2">
        <v>2</v>
      </c>
      <c r="AO119" s="25" t="s">
        <v>154</v>
      </c>
      <c r="AP119" s="41" t="s">
        <v>22</v>
      </c>
      <c r="AQ119" s="25" t="s">
        <v>154</v>
      </c>
      <c r="AR119" s="25" t="s">
        <v>154</v>
      </c>
      <c r="AS119" s="25" t="s">
        <v>154</v>
      </c>
      <c r="AU119" s="2" t="s">
        <v>628</v>
      </c>
      <c r="AV119" s="2">
        <v>94.8</v>
      </c>
    </row>
    <row r="120" spans="1:48" x14ac:dyDescent="0.2">
      <c r="A120" s="12" t="s">
        <v>552</v>
      </c>
      <c r="B120" s="2" t="s">
        <v>987</v>
      </c>
      <c r="C120" s="32">
        <v>117</v>
      </c>
      <c r="D120" s="45" t="s">
        <v>22</v>
      </c>
      <c r="E120" s="46">
        <v>84</v>
      </c>
      <c r="F120" s="41" t="s">
        <v>305</v>
      </c>
      <c r="G120" s="41" t="s">
        <v>120</v>
      </c>
      <c r="H120" s="2" t="s">
        <v>121</v>
      </c>
      <c r="I120" s="2">
        <v>1</v>
      </c>
      <c r="J120" s="2">
        <v>0</v>
      </c>
      <c r="K120" s="2">
        <v>1</v>
      </c>
      <c r="L120" s="2" t="s">
        <v>22</v>
      </c>
      <c r="M120" s="17">
        <v>49.55</v>
      </c>
      <c r="N120" s="17">
        <v>39.72</v>
      </c>
      <c r="O120" s="17">
        <v>34.04</v>
      </c>
      <c r="P120" s="6">
        <v>10077</v>
      </c>
      <c r="Q120" s="6">
        <v>4145</v>
      </c>
      <c r="R120" s="6">
        <v>2676</v>
      </c>
      <c r="S120" s="6">
        <v>113000</v>
      </c>
      <c r="T120" s="18">
        <v>60.24</v>
      </c>
      <c r="U120" s="6">
        <v>9681</v>
      </c>
      <c r="V120" s="21">
        <v>77</v>
      </c>
      <c r="W120" s="21">
        <v>75</v>
      </c>
      <c r="X120" s="21">
        <v>2</v>
      </c>
      <c r="Y120" s="21">
        <v>19</v>
      </c>
      <c r="Z120" s="22">
        <f t="shared" si="6"/>
        <v>37.647058823529413</v>
      </c>
      <c r="AA120" s="22">
        <f t="shared" si="7"/>
        <v>97.402597402597408</v>
      </c>
      <c r="AB120" s="18">
        <v>99.8</v>
      </c>
      <c r="AC120" s="6">
        <v>4138</v>
      </c>
      <c r="AD120" s="6">
        <v>7</v>
      </c>
      <c r="AE120" s="6">
        <v>0</v>
      </c>
      <c r="AF120" s="6">
        <v>0</v>
      </c>
      <c r="AG120" s="7">
        <v>18456</v>
      </c>
      <c r="AH120" s="6">
        <v>18414</v>
      </c>
      <c r="AI120" s="5" t="s">
        <v>306</v>
      </c>
      <c r="AJ120" s="38">
        <v>131.595845949535</v>
      </c>
      <c r="AK120" s="29">
        <v>54.639544279765502</v>
      </c>
      <c r="AL120" s="29">
        <v>10.029640028679699</v>
      </c>
      <c r="AM120" s="29">
        <v>35.204978678732999</v>
      </c>
      <c r="AN120" s="2">
        <v>4</v>
      </c>
      <c r="AO120" s="25" t="s">
        <v>307</v>
      </c>
      <c r="AP120" s="41" t="s">
        <v>22</v>
      </c>
      <c r="AQ120" s="25" t="s">
        <v>307</v>
      </c>
      <c r="AR120" s="25" t="s">
        <v>307</v>
      </c>
      <c r="AS120" s="25" t="s">
        <v>307</v>
      </c>
      <c r="AU120" s="2" t="s">
        <v>728</v>
      </c>
      <c r="AV120" s="2">
        <v>98.6</v>
      </c>
    </row>
    <row r="121" spans="1:48" x14ac:dyDescent="0.2">
      <c r="A121" s="12" t="s">
        <v>878</v>
      </c>
      <c r="B121" s="2" t="s">
        <v>987</v>
      </c>
      <c r="C121" s="32">
        <v>141</v>
      </c>
      <c r="D121" s="45" t="s">
        <v>22</v>
      </c>
      <c r="E121" s="46">
        <v>110</v>
      </c>
      <c r="F121" s="41" t="s">
        <v>631</v>
      </c>
      <c r="G121" s="41" t="s">
        <v>879</v>
      </c>
      <c r="H121" s="2" t="s">
        <v>38</v>
      </c>
      <c r="I121" s="2">
        <v>1</v>
      </c>
      <c r="J121" s="2">
        <v>0</v>
      </c>
      <c r="K121" s="2">
        <v>1</v>
      </c>
      <c r="L121" s="2" t="s">
        <v>22</v>
      </c>
      <c r="M121" s="17">
        <v>12.99</v>
      </c>
      <c r="N121" s="17">
        <v>0.97</v>
      </c>
      <c r="O121" s="17">
        <v>0.06</v>
      </c>
      <c r="P121" s="6">
        <v>8221</v>
      </c>
      <c r="Q121" s="6">
        <v>271</v>
      </c>
      <c r="R121" s="6">
        <v>10</v>
      </c>
      <c r="S121" s="6">
        <v>6625</v>
      </c>
      <c r="T121" s="18">
        <v>45.25</v>
      </c>
      <c r="U121" s="6">
        <v>1583</v>
      </c>
      <c r="V121" s="21">
        <v>37</v>
      </c>
      <c r="W121" s="21">
        <v>37</v>
      </c>
      <c r="X121" s="21">
        <v>0</v>
      </c>
      <c r="Y121" s="21">
        <v>50</v>
      </c>
      <c r="Z121" s="22">
        <f t="shared" si="6"/>
        <v>34.117647058823529</v>
      </c>
      <c r="AA121" s="22">
        <f t="shared" si="7"/>
        <v>100</v>
      </c>
      <c r="AB121" s="18">
        <v>98.9</v>
      </c>
      <c r="AC121" s="6">
        <v>268</v>
      </c>
      <c r="AD121" s="6">
        <v>1</v>
      </c>
      <c r="AE121" s="6">
        <v>0</v>
      </c>
      <c r="AF121" s="6">
        <v>2</v>
      </c>
      <c r="AG121" s="6">
        <v>8121</v>
      </c>
      <c r="AH121" s="6">
        <v>8112</v>
      </c>
      <c r="AI121" s="5" t="s">
        <v>385</v>
      </c>
      <c r="AJ121" s="38">
        <v>38.061304220398597</v>
      </c>
      <c r="AK121" s="29">
        <v>55.295180378233802</v>
      </c>
      <c r="AL121" s="29">
        <v>4.4830034103832501</v>
      </c>
      <c r="AM121" s="29">
        <v>39.957372712021197</v>
      </c>
      <c r="AN121" s="2">
        <v>4</v>
      </c>
      <c r="AO121" s="25" t="s">
        <v>386</v>
      </c>
      <c r="AP121" s="41" t="s">
        <v>22</v>
      </c>
      <c r="AQ121" s="25" t="s">
        <v>386</v>
      </c>
      <c r="AR121" s="25" t="s">
        <v>386</v>
      </c>
      <c r="AS121" s="25" t="s">
        <v>386</v>
      </c>
      <c r="AU121" s="2" t="s">
        <v>631</v>
      </c>
      <c r="AV121" s="29">
        <v>100</v>
      </c>
    </row>
    <row r="122" spans="1:48" x14ac:dyDescent="0.2">
      <c r="A122" s="12" t="s">
        <v>856</v>
      </c>
      <c r="B122" s="2" t="s">
        <v>987</v>
      </c>
      <c r="C122" s="32">
        <v>98</v>
      </c>
      <c r="D122" s="45" t="s">
        <v>22</v>
      </c>
      <c r="E122" s="46">
        <v>64</v>
      </c>
      <c r="F122" s="41" t="s">
        <v>618</v>
      </c>
      <c r="G122" s="41" t="s">
        <v>59</v>
      </c>
      <c r="H122" s="2" t="s">
        <v>38</v>
      </c>
      <c r="I122" s="2">
        <v>1</v>
      </c>
      <c r="J122" s="2">
        <v>0</v>
      </c>
      <c r="K122" s="2">
        <v>1</v>
      </c>
      <c r="L122" s="2" t="s">
        <v>22</v>
      </c>
      <c r="M122" s="17">
        <v>14.28</v>
      </c>
      <c r="N122" s="17">
        <v>13.43</v>
      </c>
      <c r="O122" s="17">
        <v>13</v>
      </c>
      <c r="P122" s="6">
        <v>1160</v>
      </c>
      <c r="Q122" s="6">
        <v>642</v>
      </c>
      <c r="R122" s="6">
        <v>529</v>
      </c>
      <c r="S122" s="6">
        <v>167728</v>
      </c>
      <c r="T122" s="18">
        <v>51.84</v>
      </c>
      <c r="U122" s="6">
        <v>30443</v>
      </c>
      <c r="V122" s="21">
        <v>143</v>
      </c>
      <c r="W122" s="21">
        <v>143</v>
      </c>
      <c r="X122" s="21">
        <v>0</v>
      </c>
      <c r="Y122" s="21">
        <v>17</v>
      </c>
      <c r="Z122" s="22">
        <f t="shared" si="6"/>
        <v>62.745098039215684</v>
      </c>
      <c r="AA122" s="22">
        <f t="shared" si="7"/>
        <v>100</v>
      </c>
      <c r="AB122" s="18">
        <v>98.8</v>
      </c>
      <c r="AC122" s="6">
        <v>634</v>
      </c>
      <c r="AD122" s="6">
        <v>1</v>
      </c>
      <c r="AE122" s="6">
        <v>1</v>
      </c>
      <c r="AF122" s="6">
        <v>6</v>
      </c>
      <c r="AG122" s="7">
        <v>7147</v>
      </c>
      <c r="AH122" s="6">
        <v>7143</v>
      </c>
      <c r="AI122" s="5" t="s">
        <v>256</v>
      </c>
      <c r="AJ122" s="38">
        <v>22.762581673306801</v>
      </c>
      <c r="AK122" s="29">
        <v>85.535281219195298</v>
      </c>
      <c r="AL122" s="29">
        <v>1.3676530715117801</v>
      </c>
      <c r="AM122" s="29">
        <v>12.946955652388199</v>
      </c>
      <c r="AN122" s="2">
        <v>1</v>
      </c>
      <c r="AO122" s="25" t="s">
        <v>257</v>
      </c>
      <c r="AP122" s="41" t="s">
        <v>22</v>
      </c>
      <c r="AQ122" s="25" t="s">
        <v>257</v>
      </c>
      <c r="AR122" s="25" t="s">
        <v>257</v>
      </c>
      <c r="AS122" s="25" t="s">
        <v>257</v>
      </c>
      <c r="AT122" s="13" t="s">
        <v>647</v>
      </c>
      <c r="AU122" s="2" t="s">
        <v>695</v>
      </c>
      <c r="AV122" s="2">
        <v>93.2</v>
      </c>
    </row>
    <row r="123" spans="1:48" x14ac:dyDescent="0.2">
      <c r="A123" s="12" t="s">
        <v>548</v>
      </c>
      <c r="B123" s="2" t="s">
        <v>987</v>
      </c>
      <c r="C123" s="32">
        <v>108</v>
      </c>
      <c r="D123" s="45" t="s">
        <v>22</v>
      </c>
      <c r="E123" s="46">
        <v>75</v>
      </c>
      <c r="F123" s="41" t="s">
        <v>656</v>
      </c>
      <c r="G123" s="41" t="s">
        <v>120</v>
      </c>
      <c r="H123" s="2" t="s">
        <v>121</v>
      </c>
      <c r="I123" s="2">
        <v>1</v>
      </c>
      <c r="J123" s="2">
        <v>0</v>
      </c>
      <c r="K123" s="2">
        <v>1</v>
      </c>
      <c r="L123" s="2" t="s">
        <v>22</v>
      </c>
      <c r="M123" s="17">
        <v>36.049999999999997</v>
      </c>
      <c r="N123" s="17">
        <v>28.6</v>
      </c>
      <c r="O123" s="17">
        <v>23.99</v>
      </c>
      <c r="P123" s="6">
        <v>7570</v>
      </c>
      <c r="Q123" s="6">
        <v>3214</v>
      </c>
      <c r="R123" s="6">
        <v>2022</v>
      </c>
      <c r="S123" s="6">
        <v>80725</v>
      </c>
      <c r="T123" s="18">
        <v>62.57</v>
      </c>
      <c r="U123" s="6">
        <v>8701</v>
      </c>
      <c r="V123" s="21">
        <v>69</v>
      </c>
      <c r="W123" s="21">
        <v>69</v>
      </c>
      <c r="X123" s="21">
        <v>0</v>
      </c>
      <c r="Y123" s="21">
        <v>15</v>
      </c>
      <c r="Z123" s="22">
        <f t="shared" si="6"/>
        <v>32.941176470588232</v>
      </c>
      <c r="AA123" s="22">
        <f t="shared" si="7"/>
        <v>100</v>
      </c>
      <c r="AB123" s="18">
        <v>99.4</v>
      </c>
      <c r="AC123" s="6">
        <v>3195</v>
      </c>
      <c r="AD123" s="6">
        <v>18</v>
      </c>
      <c r="AE123" s="6">
        <v>0</v>
      </c>
      <c r="AF123" s="6">
        <v>1</v>
      </c>
      <c r="AG123" s="7">
        <v>15452</v>
      </c>
      <c r="AH123" s="6">
        <v>15421</v>
      </c>
      <c r="AI123" s="5" t="s">
        <v>282</v>
      </c>
      <c r="AJ123" s="38">
        <v>109.435173041894</v>
      </c>
      <c r="AK123" s="29">
        <v>61.673158853489198</v>
      </c>
      <c r="AL123" s="29">
        <v>5.4076284956707399</v>
      </c>
      <c r="AM123" s="29">
        <v>32.779554208164903</v>
      </c>
      <c r="AN123" s="2">
        <v>4</v>
      </c>
      <c r="AO123" s="25" t="s">
        <v>283</v>
      </c>
      <c r="AP123" s="41" t="s">
        <v>22</v>
      </c>
      <c r="AQ123" s="25" t="s">
        <v>283</v>
      </c>
      <c r="AR123" s="25" t="s">
        <v>283</v>
      </c>
      <c r="AS123" s="25" t="s">
        <v>283</v>
      </c>
      <c r="AU123" s="2" t="s">
        <v>726</v>
      </c>
      <c r="AV123" s="29">
        <v>98.9</v>
      </c>
    </row>
    <row r="124" spans="1:48" x14ac:dyDescent="0.2">
      <c r="A124" s="12" t="s">
        <v>857</v>
      </c>
      <c r="B124" s="2" t="s">
        <v>987</v>
      </c>
      <c r="C124" s="32">
        <v>120</v>
      </c>
      <c r="D124" s="45" t="s">
        <v>22</v>
      </c>
      <c r="E124" s="46">
        <v>88</v>
      </c>
      <c r="F124" s="41" t="s">
        <v>626</v>
      </c>
      <c r="G124" s="41" t="s">
        <v>120</v>
      </c>
      <c r="H124" s="2" t="s">
        <v>121</v>
      </c>
      <c r="I124" s="2">
        <v>2</v>
      </c>
      <c r="J124" s="2">
        <v>0</v>
      </c>
      <c r="K124" s="16">
        <v>2</v>
      </c>
      <c r="L124" s="16">
        <v>2</v>
      </c>
      <c r="M124" s="38">
        <v>91.7</v>
      </c>
      <c r="N124" s="38">
        <v>66.39</v>
      </c>
      <c r="O124" s="38">
        <v>49.82</v>
      </c>
      <c r="P124" s="2">
        <v>23903</v>
      </c>
      <c r="Q124" s="2">
        <v>9246</v>
      </c>
      <c r="R124" s="2">
        <v>4934</v>
      </c>
      <c r="S124" s="2">
        <v>69377</v>
      </c>
      <c r="T124" s="29">
        <v>62.65</v>
      </c>
      <c r="U124" s="2">
        <v>5621</v>
      </c>
      <c r="V124" s="21">
        <v>150</v>
      </c>
      <c r="W124" s="21">
        <v>148</v>
      </c>
      <c r="X124" s="21">
        <v>2</v>
      </c>
      <c r="Y124" s="21">
        <v>35</v>
      </c>
      <c r="Z124" s="22">
        <f t="shared" si="6"/>
        <v>72.549019607843135</v>
      </c>
      <c r="AA124" s="22">
        <f t="shared" si="7"/>
        <v>98.666666666666671</v>
      </c>
      <c r="AB124" s="29">
        <v>99.2</v>
      </c>
      <c r="AC124" s="2">
        <v>9170</v>
      </c>
      <c r="AD124" s="2">
        <v>72</v>
      </c>
      <c r="AE124" s="2">
        <v>0</v>
      </c>
      <c r="AF124" s="2">
        <v>4</v>
      </c>
      <c r="AG124" s="2">
        <v>37831</v>
      </c>
      <c r="AH124" s="2">
        <v>37757</v>
      </c>
      <c r="AI124" s="5" t="s">
        <v>318</v>
      </c>
      <c r="AJ124" s="38">
        <v>126.39213507925599</v>
      </c>
      <c r="AK124" s="29">
        <v>55.134588519943598</v>
      </c>
      <c r="AL124" s="29">
        <v>10.671643872841299</v>
      </c>
      <c r="AM124" s="29">
        <v>34.059112891351198</v>
      </c>
      <c r="AN124" s="2">
        <v>4</v>
      </c>
      <c r="AO124" s="25" t="s">
        <v>319</v>
      </c>
      <c r="AP124" s="41" t="s">
        <v>22</v>
      </c>
      <c r="AQ124" s="25" t="s">
        <v>319</v>
      </c>
      <c r="AR124" s="25" t="s">
        <v>319</v>
      </c>
      <c r="AS124" s="25" t="s">
        <v>319</v>
      </c>
      <c r="AU124" s="2" t="s">
        <v>628</v>
      </c>
      <c r="AV124" s="2">
        <v>98.1</v>
      </c>
    </row>
    <row r="125" spans="1:48" x14ac:dyDescent="0.2">
      <c r="A125" s="12" t="s">
        <v>858</v>
      </c>
      <c r="B125" s="2" t="s">
        <v>986</v>
      </c>
      <c r="C125" s="31">
        <v>14</v>
      </c>
      <c r="D125" s="45">
        <v>15</v>
      </c>
      <c r="E125" s="45" t="s">
        <v>22</v>
      </c>
      <c r="F125" s="41" t="s">
        <v>518</v>
      </c>
      <c r="G125" s="41" t="s">
        <v>406</v>
      </c>
      <c r="H125" s="2" t="s">
        <v>38</v>
      </c>
      <c r="I125" s="2">
        <v>1</v>
      </c>
      <c r="J125" s="2">
        <v>1</v>
      </c>
      <c r="K125" s="2">
        <v>0</v>
      </c>
      <c r="L125" s="2" t="s">
        <v>22</v>
      </c>
      <c r="M125" s="38">
        <v>3.08</v>
      </c>
      <c r="N125" s="38">
        <v>1.63</v>
      </c>
      <c r="O125" s="38">
        <v>0.89</v>
      </c>
      <c r="P125" s="2">
        <v>1216</v>
      </c>
      <c r="Q125" s="2">
        <v>315</v>
      </c>
      <c r="R125" s="2">
        <v>123</v>
      </c>
      <c r="S125" s="2">
        <v>16459</v>
      </c>
      <c r="T125" s="29">
        <v>51.58</v>
      </c>
      <c r="U125" s="2">
        <v>3190</v>
      </c>
      <c r="V125" s="21">
        <v>3</v>
      </c>
      <c r="W125" s="21">
        <v>3</v>
      </c>
      <c r="X125" s="21">
        <v>0</v>
      </c>
      <c r="Y125" s="21">
        <v>3</v>
      </c>
      <c r="Z125" s="22">
        <f t="shared" si="6"/>
        <v>2.3529411764705883</v>
      </c>
      <c r="AA125" s="22">
        <f t="shared" si="7"/>
        <v>100</v>
      </c>
      <c r="AB125" s="29">
        <v>99.7</v>
      </c>
      <c r="AC125" s="2">
        <v>314</v>
      </c>
      <c r="AD125" s="2">
        <v>1</v>
      </c>
      <c r="AE125" s="2">
        <v>0</v>
      </c>
      <c r="AF125" s="2">
        <v>0</v>
      </c>
      <c r="AG125" s="6">
        <v>1494</v>
      </c>
      <c r="AH125" s="2">
        <v>1492</v>
      </c>
      <c r="AI125" s="12" t="s">
        <v>500</v>
      </c>
      <c r="AJ125" s="38">
        <v>131.037531914894</v>
      </c>
      <c r="AK125" s="29">
        <v>54.525778224332001</v>
      </c>
      <c r="AL125" s="29">
        <v>14.092275657908001</v>
      </c>
      <c r="AM125" s="29">
        <v>31.171644180553098</v>
      </c>
      <c r="AN125" s="2">
        <v>5</v>
      </c>
      <c r="AO125" s="25" t="s">
        <v>501</v>
      </c>
      <c r="AP125" s="41" t="s">
        <v>22</v>
      </c>
      <c r="AQ125" s="25" t="s">
        <v>501</v>
      </c>
      <c r="AR125" s="25" t="s">
        <v>501</v>
      </c>
      <c r="AS125" s="25" t="s">
        <v>501</v>
      </c>
      <c r="AU125" s="2" t="s">
        <v>674</v>
      </c>
      <c r="AV125" s="29">
        <v>90.6</v>
      </c>
    </row>
    <row r="126" spans="1:48" x14ac:dyDescent="0.2">
      <c r="A126" s="12" t="s">
        <v>859</v>
      </c>
      <c r="B126" s="2" t="s">
        <v>987</v>
      </c>
      <c r="C126" s="32">
        <v>119</v>
      </c>
      <c r="D126" s="45" t="s">
        <v>22</v>
      </c>
      <c r="E126" s="46">
        <v>87</v>
      </c>
      <c r="F126" s="41" t="s">
        <v>625</v>
      </c>
      <c r="G126" s="41" t="s">
        <v>314</v>
      </c>
      <c r="H126" s="2" t="s">
        <v>315</v>
      </c>
      <c r="I126" s="2">
        <v>1</v>
      </c>
      <c r="J126" s="2">
        <v>0</v>
      </c>
      <c r="K126" s="2">
        <v>1</v>
      </c>
      <c r="L126" s="2" t="s">
        <v>22</v>
      </c>
      <c r="M126" s="17">
        <v>92.52</v>
      </c>
      <c r="N126" s="17">
        <v>52.04</v>
      </c>
      <c r="O126" s="17">
        <v>39.270000000000003</v>
      </c>
      <c r="P126" s="6">
        <v>32941</v>
      </c>
      <c r="Q126" s="6">
        <v>7150</v>
      </c>
      <c r="R126" s="6">
        <v>3804</v>
      </c>
      <c r="S126" s="6">
        <v>60080</v>
      </c>
      <c r="T126" s="18">
        <v>52.59</v>
      </c>
      <c r="U126" s="6">
        <v>3751</v>
      </c>
      <c r="V126" s="21">
        <v>10</v>
      </c>
      <c r="W126" s="21">
        <v>9</v>
      </c>
      <c r="X126" s="21">
        <v>1</v>
      </c>
      <c r="Y126" s="21">
        <v>7</v>
      </c>
      <c r="Z126" s="22">
        <f t="shared" si="6"/>
        <v>6.666666666666667</v>
      </c>
      <c r="AA126" s="22">
        <f t="shared" si="7"/>
        <v>90</v>
      </c>
      <c r="AB126" s="18">
        <v>98.8</v>
      </c>
      <c r="AC126" s="6">
        <v>7062</v>
      </c>
      <c r="AD126" s="6">
        <v>77</v>
      </c>
      <c r="AE126" s="6">
        <v>8</v>
      </c>
      <c r="AF126" s="6">
        <v>3</v>
      </c>
      <c r="AG126" s="7">
        <v>33820</v>
      </c>
      <c r="AH126" s="6">
        <v>33621</v>
      </c>
      <c r="AI126" s="5" t="s">
        <v>316</v>
      </c>
      <c r="AJ126" s="38">
        <v>1387.1277211394299</v>
      </c>
      <c r="AK126" s="29">
        <v>39.399163344003597</v>
      </c>
      <c r="AL126" s="29">
        <v>11.5045306427909</v>
      </c>
      <c r="AM126" s="29">
        <v>48.939172668763298</v>
      </c>
      <c r="AN126" s="2" t="s">
        <v>22</v>
      </c>
      <c r="AO126" s="25" t="s">
        <v>317</v>
      </c>
      <c r="AP126" s="41" t="s">
        <v>22</v>
      </c>
      <c r="AQ126" s="25" t="s">
        <v>317</v>
      </c>
      <c r="AR126" s="25" t="s">
        <v>317</v>
      </c>
      <c r="AS126" s="25" t="s">
        <v>317</v>
      </c>
      <c r="AU126" s="2" t="s">
        <v>729</v>
      </c>
      <c r="AV126" s="29">
        <v>94.9</v>
      </c>
    </row>
    <row r="127" spans="1:48" x14ac:dyDescent="0.2">
      <c r="A127" s="12" t="s">
        <v>565</v>
      </c>
      <c r="B127" s="2" t="s">
        <v>987</v>
      </c>
      <c r="C127" s="32">
        <v>113</v>
      </c>
      <c r="D127" s="45" t="s">
        <v>22</v>
      </c>
      <c r="E127" s="46">
        <v>80</v>
      </c>
      <c r="F127" s="41" t="s">
        <v>293</v>
      </c>
      <c r="G127" s="41" t="s">
        <v>120</v>
      </c>
      <c r="H127" s="2" t="s">
        <v>121</v>
      </c>
      <c r="I127" s="2">
        <v>1</v>
      </c>
      <c r="J127" s="2">
        <v>0</v>
      </c>
      <c r="K127" s="2">
        <v>1</v>
      </c>
      <c r="L127" s="2" t="s">
        <v>22</v>
      </c>
      <c r="M127" s="17">
        <v>25.98</v>
      </c>
      <c r="N127" s="17">
        <v>20.65</v>
      </c>
      <c r="O127" s="17">
        <v>18.09</v>
      </c>
      <c r="P127" s="6">
        <v>5228</v>
      </c>
      <c r="Q127" s="6">
        <v>1976</v>
      </c>
      <c r="R127" s="6">
        <v>1309</v>
      </c>
      <c r="S127" s="6">
        <v>80108</v>
      </c>
      <c r="T127" s="18">
        <v>64.63</v>
      </c>
      <c r="U127" s="6">
        <v>10653</v>
      </c>
      <c r="V127" s="21">
        <v>48</v>
      </c>
      <c r="W127" s="21">
        <v>48</v>
      </c>
      <c r="X127" s="21">
        <v>0</v>
      </c>
      <c r="Y127" s="21">
        <v>23</v>
      </c>
      <c r="Z127" s="22">
        <f t="shared" si="6"/>
        <v>27.843137254901961</v>
      </c>
      <c r="AA127" s="22">
        <f t="shared" si="7"/>
        <v>100</v>
      </c>
      <c r="AB127" s="18">
        <v>95.5</v>
      </c>
      <c r="AC127" s="6">
        <v>1887</v>
      </c>
      <c r="AD127" s="6">
        <v>83</v>
      </c>
      <c r="AE127" s="6">
        <v>0</v>
      </c>
      <c r="AF127" s="6">
        <v>6</v>
      </c>
      <c r="AG127" s="7">
        <v>10872</v>
      </c>
      <c r="AH127" s="6">
        <v>10849</v>
      </c>
      <c r="AI127" s="5" t="s">
        <v>294</v>
      </c>
      <c r="AJ127" s="38">
        <v>93.333839798850605</v>
      </c>
      <c r="AK127" s="29">
        <v>58.366836140552003</v>
      </c>
      <c r="AL127" s="29">
        <v>8.8910539701889704</v>
      </c>
      <c r="AM127" s="29">
        <v>32.597379301474703</v>
      </c>
      <c r="AN127" s="2">
        <v>4</v>
      </c>
      <c r="AO127" s="25" t="s">
        <v>295</v>
      </c>
      <c r="AP127" s="41" t="s">
        <v>22</v>
      </c>
      <c r="AQ127" s="25" t="s">
        <v>295</v>
      </c>
      <c r="AR127" s="25" t="s">
        <v>295</v>
      </c>
      <c r="AS127" s="25" t="s">
        <v>295</v>
      </c>
      <c r="AU127" s="2" t="s">
        <v>717</v>
      </c>
      <c r="AV127" s="2">
        <v>97.6</v>
      </c>
    </row>
    <row r="128" spans="1:48" x14ac:dyDescent="0.2">
      <c r="A128" s="12" t="s">
        <v>860</v>
      </c>
      <c r="B128" s="2" t="s">
        <v>987</v>
      </c>
      <c r="C128" s="32">
        <v>89</v>
      </c>
      <c r="D128" s="45" t="s">
        <v>22</v>
      </c>
      <c r="E128" s="46">
        <v>55</v>
      </c>
      <c r="F128" s="41" t="s">
        <v>227</v>
      </c>
      <c r="G128" s="41" t="s">
        <v>120</v>
      </c>
      <c r="H128" s="2" t="s">
        <v>121</v>
      </c>
      <c r="I128" s="2">
        <v>1</v>
      </c>
      <c r="J128" s="2">
        <v>0</v>
      </c>
      <c r="K128" s="2">
        <v>1</v>
      </c>
      <c r="L128" s="2" t="s">
        <v>22</v>
      </c>
      <c r="M128" s="17">
        <v>12.34</v>
      </c>
      <c r="N128" s="17">
        <v>10.16</v>
      </c>
      <c r="O128" s="17">
        <v>9.0399999999999991</v>
      </c>
      <c r="P128" s="6">
        <v>2261</v>
      </c>
      <c r="Q128" s="6">
        <v>921</v>
      </c>
      <c r="R128" s="6">
        <v>635</v>
      </c>
      <c r="S128" s="6">
        <v>54131</v>
      </c>
      <c r="T128" s="18">
        <v>65.91</v>
      </c>
      <c r="U128" s="6">
        <v>12301</v>
      </c>
      <c r="V128" s="21">
        <v>42</v>
      </c>
      <c r="W128" s="21">
        <v>42</v>
      </c>
      <c r="X128" s="21">
        <v>0</v>
      </c>
      <c r="Y128" s="21">
        <v>13</v>
      </c>
      <c r="Z128" s="22">
        <f t="shared" si="6"/>
        <v>21.568627450980394</v>
      </c>
      <c r="AA128" s="22">
        <f t="shared" si="7"/>
        <v>100</v>
      </c>
      <c r="AB128" s="18">
        <v>96.3</v>
      </c>
      <c r="AC128" s="6">
        <v>887</v>
      </c>
      <c r="AD128" s="6">
        <v>33</v>
      </c>
      <c r="AE128" s="6">
        <v>0</v>
      </c>
      <c r="AF128" s="6">
        <v>1</v>
      </c>
      <c r="AG128" s="7">
        <v>6067</v>
      </c>
      <c r="AH128" s="6">
        <v>6060</v>
      </c>
      <c r="AI128" s="5" t="s">
        <v>228</v>
      </c>
      <c r="AJ128" s="38">
        <v>57.215744089012503</v>
      </c>
      <c r="AK128" s="29">
        <v>68.559469092575597</v>
      </c>
      <c r="AL128" s="29">
        <v>4.6728354787886897</v>
      </c>
      <c r="AM128" s="29">
        <v>26.612138166093501</v>
      </c>
      <c r="AN128" s="2">
        <v>2</v>
      </c>
      <c r="AO128" s="25" t="s">
        <v>229</v>
      </c>
      <c r="AP128" s="41" t="s">
        <v>22</v>
      </c>
      <c r="AQ128" s="25" t="s">
        <v>229</v>
      </c>
      <c r="AR128" s="25" t="s">
        <v>229</v>
      </c>
      <c r="AS128" s="25" t="s">
        <v>229</v>
      </c>
      <c r="AU128" s="2" t="s">
        <v>717</v>
      </c>
      <c r="AV128" s="2">
        <v>98.6</v>
      </c>
    </row>
    <row r="129" spans="1:48" x14ac:dyDescent="0.2">
      <c r="A129" s="12" t="s">
        <v>551</v>
      </c>
      <c r="B129" s="2" t="s">
        <v>987</v>
      </c>
      <c r="C129" s="32">
        <v>116</v>
      </c>
      <c r="D129" s="45" t="s">
        <v>22</v>
      </c>
      <c r="E129" s="46">
        <v>83</v>
      </c>
      <c r="F129" s="41" t="s">
        <v>302</v>
      </c>
      <c r="G129" s="41" t="s">
        <v>120</v>
      </c>
      <c r="H129" s="2" t="s">
        <v>121</v>
      </c>
      <c r="I129" s="2">
        <v>1</v>
      </c>
      <c r="J129" s="2">
        <v>0</v>
      </c>
      <c r="K129" s="2">
        <v>1</v>
      </c>
      <c r="L129" s="2" t="s">
        <v>22</v>
      </c>
      <c r="M129" s="17">
        <v>38.729999999999997</v>
      </c>
      <c r="N129" s="17">
        <v>31.33</v>
      </c>
      <c r="O129" s="17">
        <v>27.05</v>
      </c>
      <c r="P129" s="6">
        <v>7666</v>
      </c>
      <c r="Q129" s="6">
        <v>3242</v>
      </c>
      <c r="R129" s="6">
        <v>2137</v>
      </c>
      <c r="S129" s="6">
        <v>102471</v>
      </c>
      <c r="T129" s="18">
        <v>59.02</v>
      </c>
      <c r="U129" s="6">
        <v>9766</v>
      </c>
      <c r="V129" s="21">
        <v>85</v>
      </c>
      <c r="W129" s="21">
        <v>85</v>
      </c>
      <c r="X129" s="21">
        <v>0</v>
      </c>
      <c r="Y129" s="21">
        <v>25</v>
      </c>
      <c r="Z129" s="22">
        <f t="shared" si="6"/>
        <v>43.137254901960787</v>
      </c>
      <c r="AA129" s="22">
        <f t="shared" si="7"/>
        <v>100</v>
      </c>
      <c r="AB129" s="18">
        <v>99.6</v>
      </c>
      <c r="AC129" s="6">
        <v>3230</v>
      </c>
      <c r="AD129" s="6">
        <v>11</v>
      </c>
      <c r="AE129" s="6">
        <v>0</v>
      </c>
      <c r="AF129" s="6">
        <v>1</v>
      </c>
      <c r="AG129" s="7">
        <v>16761</v>
      </c>
      <c r="AH129" s="6">
        <v>16735</v>
      </c>
      <c r="AI129" s="5" t="s">
        <v>303</v>
      </c>
      <c r="AJ129" s="38">
        <v>89.781133518776102</v>
      </c>
      <c r="AK129" s="29">
        <v>61.531115912877397</v>
      </c>
      <c r="AL129" s="29">
        <v>5.4800809706167204</v>
      </c>
      <c r="AM129" s="29">
        <v>32.856404699823599</v>
      </c>
      <c r="AN129" s="2">
        <v>4</v>
      </c>
      <c r="AO129" s="25" t="s">
        <v>304</v>
      </c>
      <c r="AP129" s="41" t="s">
        <v>22</v>
      </c>
      <c r="AQ129" s="25" t="s">
        <v>304</v>
      </c>
      <c r="AR129" s="25" t="s">
        <v>304</v>
      </c>
      <c r="AS129" s="25" t="s">
        <v>304</v>
      </c>
      <c r="AU129" s="2" t="s">
        <v>706</v>
      </c>
      <c r="AV129" s="2">
        <v>99.4</v>
      </c>
    </row>
    <row r="130" spans="1:48" x14ac:dyDescent="0.2">
      <c r="A130" s="12" t="s">
        <v>861</v>
      </c>
      <c r="B130" s="2" t="s">
        <v>993</v>
      </c>
      <c r="C130" s="31">
        <v>4</v>
      </c>
      <c r="D130" s="45">
        <v>5</v>
      </c>
      <c r="E130" s="45" t="s">
        <v>22</v>
      </c>
      <c r="F130" s="41" t="s">
        <v>750</v>
      </c>
      <c r="G130" s="41" t="s">
        <v>120</v>
      </c>
      <c r="H130" s="2" t="s">
        <v>121</v>
      </c>
      <c r="I130" s="2">
        <v>3</v>
      </c>
      <c r="J130" s="2">
        <v>3</v>
      </c>
      <c r="K130" s="2">
        <v>0</v>
      </c>
      <c r="L130" s="16">
        <v>3</v>
      </c>
      <c r="M130" s="38">
        <v>8.36</v>
      </c>
      <c r="N130" s="38">
        <v>6.88</v>
      </c>
      <c r="O130" s="38">
        <v>5.97</v>
      </c>
      <c r="P130" s="2">
        <v>1588</v>
      </c>
      <c r="Q130" s="2">
        <v>696</v>
      </c>
      <c r="R130" s="2">
        <v>460</v>
      </c>
      <c r="S130" s="2">
        <v>75173</v>
      </c>
      <c r="T130" s="29">
        <v>64.239999999999995</v>
      </c>
      <c r="U130" s="2">
        <v>10701</v>
      </c>
      <c r="V130" s="21">
        <v>74</v>
      </c>
      <c r="W130" s="21">
        <v>73</v>
      </c>
      <c r="X130" s="21">
        <v>1</v>
      </c>
      <c r="Y130" s="21">
        <v>20</v>
      </c>
      <c r="Z130" s="22">
        <v>36.86</v>
      </c>
      <c r="AA130" s="22">
        <v>98.648648648648646</v>
      </c>
      <c r="AB130" s="29">
        <v>98.4</v>
      </c>
      <c r="AC130" s="2">
        <v>685</v>
      </c>
      <c r="AD130" s="2">
        <v>3</v>
      </c>
      <c r="AE130" s="2">
        <v>1</v>
      </c>
      <c r="AF130" s="2">
        <v>7</v>
      </c>
      <c r="AG130" s="2">
        <v>5475</v>
      </c>
      <c r="AH130" s="2">
        <v>5472</v>
      </c>
      <c r="AI130" s="12"/>
      <c r="AJ130" s="38">
        <v>22.680412371134022</v>
      </c>
      <c r="AK130" s="29">
        <v>80.881819633893201</v>
      </c>
      <c r="AL130" s="29">
        <v>1.51226168633558</v>
      </c>
      <c r="AM130" s="29">
        <v>17.397470311183</v>
      </c>
      <c r="AN130" s="2">
        <v>1</v>
      </c>
      <c r="AO130" s="20" t="s">
        <v>56</v>
      </c>
      <c r="AP130" s="41" t="s">
        <v>22</v>
      </c>
      <c r="AQ130" s="20" t="s">
        <v>56</v>
      </c>
      <c r="AR130" s="20" t="s">
        <v>56</v>
      </c>
      <c r="AS130" s="20" t="s">
        <v>56</v>
      </c>
      <c r="AV130" s="2"/>
    </row>
    <row r="131" spans="1:48" x14ac:dyDescent="0.2">
      <c r="A131" s="12" t="s">
        <v>862</v>
      </c>
      <c r="B131" s="2" t="s">
        <v>993</v>
      </c>
      <c r="C131" s="32">
        <v>29</v>
      </c>
      <c r="D131" s="45">
        <v>34</v>
      </c>
      <c r="E131" s="45" t="s">
        <v>22</v>
      </c>
      <c r="F131" s="41" t="s">
        <v>505</v>
      </c>
      <c r="G131" s="41" t="s">
        <v>59</v>
      </c>
      <c r="H131" s="2" t="s">
        <v>38</v>
      </c>
      <c r="I131" s="2">
        <v>1</v>
      </c>
      <c r="J131" s="2">
        <v>1</v>
      </c>
      <c r="K131" s="2">
        <v>0</v>
      </c>
      <c r="L131" s="2" t="s">
        <v>22</v>
      </c>
      <c r="M131" s="38">
        <v>3.75</v>
      </c>
      <c r="N131" s="38">
        <v>3.09</v>
      </c>
      <c r="O131" s="38">
        <v>2.75</v>
      </c>
      <c r="P131" s="2">
        <v>727</v>
      </c>
      <c r="Q131" s="2">
        <v>319</v>
      </c>
      <c r="R131" s="2">
        <v>233</v>
      </c>
      <c r="S131" s="2">
        <v>40182</v>
      </c>
      <c r="T131" s="29">
        <v>42.86</v>
      </c>
      <c r="U131" s="2">
        <v>10126</v>
      </c>
      <c r="V131" s="21">
        <v>30</v>
      </c>
      <c r="W131" s="21">
        <v>30</v>
      </c>
      <c r="X131" s="21">
        <v>0</v>
      </c>
      <c r="Y131" s="21">
        <v>10</v>
      </c>
      <c r="Z131" s="22">
        <f>100*(V131+Y131)/255</f>
        <v>15.686274509803921</v>
      </c>
      <c r="AA131" s="22">
        <f>100*W131/V131</f>
        <v>100</v>
      </c>
      <c r="AB131" s="29">
        <v>95</v>
      </c>
      <c r="AC131" s="2">
        <v>303</v>
      </c>
      <c r="AD131" s="2">
        <v>16</v>
      </c>
      <c r="AE131" s="2">
        <v>0</v>
      </c>
      <c r="AF131" s="2">
        <v>0</v>
      </c>
      <c r="AG131" s="6">
        <v>2044</v>
      </c>
      <c r="AH131" s="2">
        <v>2043</v>
      </c>
      <c r="AI131" s="12"/>
      <c r="AJ131" s="38">
        <v>23.905780752071401</v>
      </c>
      <c r="AK131" s="29">
        <v>78.893585050936906</v>
      </c>
      <c r="AL131" s="29">
        <v>5.1027816073138199</v>
      </c>
      <c r="AM131" s="29">
        <v>15.786987208386901</v>
      </c>
      <c r="AN131" s="2">
        <v>1</v>
      </c>
      <c r="AO131" s="20" t="s">
        <v>56</v>
      </c>
      <c r="AP131" s="41" t="s">
        <v>22</v>
      </c>
      <c r="AQ131" s="20" t="s">
        <v>56</v>
      </c>
      <c r="AR131" s="20" t="s">
        <v>56</v>
      </c>
      <c r="AS131" s="20" t="s">
        <v>56</v>
      </c>
    </row>
    <row r="132" spans="1:48" x14ac:dyDescent="0.2">
      <c r="A132" s="12" t="s">
        <v>863</v>
      </c>
      <c r="B132" s="2" t="s">
        <v>993</v>
      </c>
      <c r="C132" s="32">
        <v>30</v>
      </c>
      <c r="D132" s="45">
        <v>35</v>
      </c>
      <c r="E132" s="45" t="s">
        <v>22</v>
      </c>
      <c r="F132" s="41" t="s">
        <v>248</v>
      </c>
      <c r="G132" s="41" t="s">
        <v>105</v>
      </c>
      <c r="H132" s="2" t="s">
        <v>86</v>
      </c>
      <c r="I132" s="2">
        <v>1</v>
      </c>
      <c r="J132" s="2">
        <v>1</v>
      </c>
      <c r="K132" s="2">
        <v>0</v>
      </c>
      <c r="L132" s="2" t="s">
        <v>22</v>
      </c>
      <c r="M132" s="38">
        <v>2</v>
      </c>
      <c r="N132" s="38">
        <v>1.78</v>
      </c>
      <c r="O132" s="38">
        <v>1.71</v>
      </c>
      <c r="P132" s="2">
        <v>226</v>
      </c>
      <c r="Q132" s="2">
        <v>96</v>
      </c>
      <c r="R132" s="2">
        <v>76</v>
      </c>
      <c r="S132" s="2">
        <v>111085</v>
      </c>
      <c r="T132" s="29">
        <v>48.42</v>
      </c>
      <c r="U132" s="2">
        <v>28002</v>
      </c>
      <c r="V132" s="21">
        <v>28</v>
      </c>
      <c r="W132" s="21">
        <v>28</v>
      </c>
      <c r="X132" s="21">
        <v>0</v>
      </c>
      <c r="Y132" s="21">
        <v>4</v>
      </c>
      <c r="Z132" s="22">
        <f>100*(V132+Y132)/255</f>
        <v>12.549019607843137</v>
      </c>
      <c r="AA132" s="22">
        <f>100*W132/V132</f>
        <v>100</v>
      </c>
      <c r="AB132" s="29">
        <v>99</v>
      </c>
      <c r="AC132" s="2">
        <v>95</v>
      </c>
      <c r="AD132" s="2">
        <v>0</v>
      </c>
      <c r="AE132" s="2">
        <v>0</v>
      </c>
      <c r="AF132" s="2">
        <v>1</v>
      </c>
      <c r="AG132" s="6">
        <v>1206</v>
      </c>
      <c r="AH132" s="2">
        <v>1205</v>
      </c>
      <c r="AI132" s="11"/>
      <c r="AJ132" s="38">
        <v>15.9340637450199</v>
      </c>
      <c r="AK132" s="29">
        <v>82.158796834564797</v>
      </c>
      <c r="AL132" s="29">
        <v>2.5536011201540201</v>
      </c>
      <c r="AM132" s="29">
        <v>15.1066771681106</v>
      </c>
      <c r="AN132" s="2">
        <v>1</v>
      </c>
      <c r="AO132" s="20" t="s">
        <v>56</v>
      </c>
      <c r="AP132" s="41" t="s">
        <v>22</v>
      </c>
      <c r="AQ132" s="20" t="s">
        <v>56</v>
      </c>
      <c r="AR132" s="20" t="s">
        <v>56</v>
      </c>
      <c r="AS132" s="20" t="s">
        <v>56</v>
      </c>
      <c r="AT132" s="23" t="s">
        <v>641</v>
      </c>
    </row>
    <row r="133" spans="1:48" x14ac:dyDescent="0.2">
      <c r="A133" s="12" t="s">
        <v>864</v>
      </c>
      <c r="B133" s="2" t="s">
        <v>990</v>
      </c>
      <c r="C133" s="32">
        <v>46</v>
      </c>
      <c r="D133" s="45" t="s">
        <v>22</v>
      </c>
      <c r="E133" s="46">
        <v>8</v>
      </c>
      <c r="F133" s="41" t="s">
        <v>759</v>
      </c>
      <c r="G133" s="41" t="s">
        <v>37</v>
      </c>
      <c r="H133" s="2" t="s">
        <v>38</v>
      </c>
      <c r="I133" s="2">
        <v>1</v>
      </c>
      <c r="J133" s="2">
        <v>0</v>
      </c>
      <c r="K133" s="2">
        <v>1</v>
      </c>
      <c r="L133" s="2" t="s">
        <v>22</v>
      </c>
      <c r="M133" s="17">
        <v>11.19</v>
      </c>
      <c r="N133" s="17">
        <v>8.84</v>
      </c>
      <c r="O133" s="17">
        <v>7.24</v>
      </c>
      <c r="P133" s="6">
        <v>2512</v>
      </c>
      <c r="Q133" s="6">
        <v>1104</v>
      </c>
      <c r="R133" s="6">
        <v>690</v>
      </c>
      <c r="S133" s="6">
        <v>45871</v>
      </c>
      <c r="T133" s="18">
        <v>49.77</v>
      </c>
      <c r="U133" s="6">
        <v>7541</v>
      </c>
      <c r="V133" s="21">
        <v>49</v>
      </c>
      <c r="W133" s="21">
        <v>49</v>
      </c>
      <c r="X133" s="21">
        <v>0</v>
      </c>
      <c r="Y133" s="21">
        <v>21</v>
      </c>
      <c r="Z133" s="22">
        <f>100*(V133+Y133)/255</f>
        <v>27.450980392156861</v>
      </c>
      <c r="AA133" s="22">
        <f>100*W133/V133</f>
        <v>100</v>
      </c>
      <c r="AB133" s="18">
        <v>99.6</v>
      </c>
      <c r="AC133" s="6">
        <v>1100</v>
      </c>
      <c r="AD133" s="6">
        <v>4</v>
      </c>
      <c r="AE133" s="6">
        <v>0</v>
      </c>
      <c r="AF133" s="6">
        <v>0</v>
      </c>
      <c r="AG133" s="7">
        <v>5323</v>
      </c>
      <c r="AH133" s="6">
        <v>5318</v>
      </c>
      <c r="AJ133" s="38">
        <v>40.776240437158499</v>
      </c>
      <c r="AK133" s="29">
        <v>64.039864637769895</v>
      </c>
      <c r="AL133" s="29">
        <v>21.214477376106899</v>
      </c>
      <c r="AM133" s="29">
        <v>14.594082163994599</v>
      </c>
      <c r="AN133" s="2">
        <v>3</v>
      </c>
      <c r="AO133" s="20" t="s">
        <v>56</v>
      </c>
      <c r="AP133" s="41" t="s">
        <v>22</v>
      </c>
      <c r="AQ133" s="20" t="s">
        <v>56</v>
      </c>
      <c r="AR133" s="20" t="s">
        <v>56</v>
      </c>
      <c r="AS133" s="20" t="s">
        <v>56</v>
      </c>
      <c r="AT133" s="5"/>
    </row>
    <row r="134" spans="1:48" x14ac:dyDescent="0.2">
      <c r="A134" s="12" t="s">
        <v>865</v>
      </c>
      <c r="B134" s="2" t="s">
        <v>990</v>
      </c>
      <c r="C134" s="32">
        <v>47</v>
      </c>
      <c r="D134" s="45" t="s">
        <v>22</v>
      </c>
      <c r="E134" s="46">
        <v>9</v>
      </c>
      <c r="F134" s="41" t="s">
        <v>985</v>
      </c>
      <c r="G134" s="41" t="s">
        <v>984</v>
      </c>
      <c r="H134" s="2" t="s">
        <v>21</v>
      </c>
      <c r="I134" s="2">
        <v>1</v>
      </c>
      <c r="J134" s="2">
        <v>0</v>
      </c>
      <c r="K134" s="2">
        <v>1</v>
      </c>
      <c r="L134" s="2" t="s">
        <v>22</v>
      </c>
      <c r="M134" s="17">
        <v>13.62</v>
      </c>
      <c r="N134" s="17">
        <v>11.88</v>
      </c>
      <c r="O134" s="17">
        <v>10.93</v>
      </c>
      <c r="P134" s="6">
        <v>1994</v>
      </c>
      <c r="Q134" s="6">
        <v>921</v>
      </c>
      <c r="R134" s="6">
        <v>678</v>
      </c>
      <c r="S134" s="6">
        <v>75669</v>
      </c>
      <c r="T134" s="18">
        <v>58.88</v>
      </c>
      <c r="U134" s="6">
        <v>16789</v>
      </c>
      <c r="V134" s="21">
        <v>113</v>
      </c>
      <c r="W134" s="21">
        <v>113</v>
      </c>
      <c r="X134" s="21">
        <v>0</v>
      </c>
      <c r="Y134" s="21">
        <v>21</v>
      </c>
      <c r="Z134" s="22">
        <f>100*(V134+Y134)/255</f>
        <v>52.549019607843135</v>
      </c>
      <c r="AA134" s="22">
        <f>100*W134/V134</f>
        <v>100</v>
      </c>
      <c r="AB134" s="18">
        <v>99.6</v>
      </c>
      <c r="AC134" s="6">
        <v>917</v>
      </c>
      <c r="AD134" s="6">
        <v>2</v>
      </c>
      <c r="AE134" s="6">
        <v>1</v>
      </c>
      <c r="AF134" s="6">
        <v>1</v>
      </c>
      <c r="AG134" s="7">
        <v>6604</v>
      </c>
      <c r="AH134" s="6">
        <v>6600</v>
      </c>
      <c r="AJ134" s="38">
        <v>25.920150333016199</v>
      </c>
      <c r="AK134" s="29">
        <v>62.0743468982065</v>
      </c>
      <c r="AL134" s="29">
        <v>9.1261540327430204</v>
      </c>
      <c r="AM134" s="29">
        <v>28.624725323817099</v>
      </c>
      <c r="AN134" s="2">
        <v>2</v>
      </c>
      <c r="AO134" s="20" t="s">
        <v>56</v>
      </c>
      <c r="AP134" s="41" t="s">
        <v>22</v>
      </c>
      <c r="AQ134" s="20" t="s">
        <v>56</v>
      </c>
      <c r="AR134" s="20" t="s">
        <v>56</v>
      </c>
      <c r="AS134" s="20" t="s">
        <v>56</v>
      </c>
      <c r="AV134" s="2"/>
    </row>
    <row r="135" spans="1:48" x14ac:dyDescent="0.2">
      <c r="A135" s="12" t="s">
        <v>866</v>
      </c>
      <c r="B135" s="2" t="s">
        <v>990</v>
      </c>
      <c r="C135" s="32">
        <v>57</v>
      </c>
      <c r="D135" s="45" t="s">
        <v>22</v>
      </c>
      <c r="E135" s="46">
        <v>20</v>
      </c>
      <c r="F135" s="41" t="s">
        <v>96</v>
      </c>
      <c r="G135" s="41" t="s">
        <v>97</v>
      </c>
      <c r="H135" s="2" t="s">
        <v>97</v>
      </c>
      <c r="I135" s="2">
        <v>2</v>
      </c>
      <c r="J135" s="2">
        <v>0</v>
      </c>
      <c r="K135" s="2">
        <v>2</v>
      </c>
      <c r="L135" s="16">
        <v>2</v>
      </c>
      <c r="M135" s="17">
        <v>3.45</v>
      </c>
      <c r="N135" s="17">
        <v>2.61</v>
      </c>
      <c r="O135" s="17">
        <v>1.81</v>
      </c>
      <c r="P135" s="6">
        <v>914</v>
      </c>
      <c r="Q135" s="6">
        <v>434</v>
      </c>
      <c r="R135" s="6">
        <v>228</v>
      </c>
      <c r="S135" s="6">
        <v>20000</v>
      </c>
      <c r="T135" s="18">
        <v>50.29</v>
      </c>
      <c r="U135" s="6">
        <v>5153</v>
      </c>
      <c r="V135" s="21">
        <v>17</v>
      </c>
      <c r="W135" s="21">
        <v>17</v>
      </c>
      <c r="X135" s="21">
        <v>0</v>
      </c>
      <c r="Y135" s="21">
        <v>7</v>
      </c>
      <c r="Z135" s="22">
        <v>9.41</v>
      </c>
      <c r="AA135" s="22">
        <v>100</v>
      </c>
      <c r="AB135" s="18">
        <v>99.5</v>
      </c>
      <c r="AC135" s="6">
        <v>432</v>
      </c>
      <c r="AD135" s="6">
        <v>2</v>
      </c>
      <c r="AE135" s="6">
        <v>0</v>
      </c>
      <c r="AF135" s="6">
        <v>0</v>
      </c>
      <c r="AG135" s="7">
        <v>1841</v>
      </c>
      <c r="AH135" s="6">
        <v>1835</v>
      </c>
      <c r="AJ135" s="38">
        <v>36.663124335812967</v>
      </c>
      <c r="AK135" s="29">
        <v>78.391514356722993</v>
      </c>
      <c r="AL135" s="29">
        <v>4.1554523992525301</v>
      </c>
      <c r="AM135" s="29">
        <v>17.2931457992273</v>
      </c>
      <c r="AN135" s="2">
        <v>1</v>
      </c>
      <c r="AO135" s="20" t="s">
        <v>56</v>
      </c>
      <c r="AP135" s="41" t="s">
        <v>22</v>
      </c>
      <c r="AQ135" s="20" t="s">
        <v>56</v>
      </c>
      <c r="AR135" s="20" t="s">
        <v>56</v>
      </c>
      <c r="AS135" s="20" t="s">
        <v>56</v>
      </c>
      <c r="AU135" s="2" t="s">
        <v>698</v>
      </c>
      <c r="AV135" s="2"/>
    </row>
    <row r="136" spans="1:48" x14ac:dyDescent="0.2">
      <c r="A136" s="12" t="s">
        <v>867</v>
      </c>
      <c r="B136" s="2" t="s">
        <v>990</v>
      </c>
      <c r="C136" s="32">
        <v>59</v>
      </c>
      <c r="D136" s="45" t="s">
        <v>22</v>
      </c>
      <c r="E136" s="46">
        <v>22</v>
      </c>
      <c r="F136" s="41" t="s">
        <v>751</v>
      </c>
      <c r="G136" s="41" t="s">
        <v>43</v>
      </c>
      <c r="H136" s="2" t="s">
        <v>38</v>
      </c>
      <c r="I136" s="2">
        <v>1</v>
      </c>
      <c r="J136" s="2">
        <v>0</v>
      </c>
      <c r="K136" s="2">
        <v>1</v>
      </c>
      <c r="L136" s="2" t="s">
        <v>22</v>
      </c>
      <c r="M136" s="17">
        <v>13.07</v>
      </c>
      <c r="N136" s="17">
        <v>11.57</v>
      </c>
      <c r="O136" s="17">
        <v>10.53</v>
      </c>
      <c r="P136" s="6">
        <v>2018</v>
      </c>
      <c r="Q136" s="6">
        <v>1086</v>
      </c>
      <c r="R136" s="6">
        <v>816</v>
      </c>
      <c r="S136" s="6">
        <v>61036</v>
      </c>
      <c r="T136" s="18">
        <v>49.71</v>
      </c>
      <c r="U136" s="6">
        <v>12148</v>
      </c>
      <c r="V136" s="21">
        <v>60</v>
      </c>
      <c r="W136" s="21">
        <v>59</v>
      </c>
      <c r="X136" s="21">
        <v>1</v>
      </c>
      <c r="Y136" s="21">
        <v>19</v>
      </c>
      <c r="Z136" s="22">
        <f t="shared" ref="Z136:Z148" si="8">100*(V136+Y136)/255</f>
        <v>30.980392156862745</v>
      </c>
      <c r="AA136" s="22">
        <f t="shared" ref="AA136:AA148" si="9">100*W136/V136</f>
        <v>98.333333333333329</v>
      </c>
      <c r="AB136" s="18">
        <v>99.4</v>
      </c>
      <c r="AC136" s="6">
        <v>1080</v>
      </c>
      <c r="AD136" s="6">
        <v>3</v>
      </c>
      <c r="AE136" s="6">
        <v>3</v>
      </c>
      <c r="AF136" s="6">
        <v>0</v>
      </c>
      <c r="AG136" s="7">
        <v>5812</v>
      </c>
      <c r="AH136" s="6">
        <v>5787</v>
      </c>
      <c r="AJ136" s="38">
        <v>42.1989735313105</v>
      </c>
      <c r="AK136" s="29">
        <v>73.143907226684803</v>
      </c>
      <c r="AL136" s="29">
        <v>6.58470943932653</v>
      </c>
      <c r="AM136" s="29">
        <v>20.1303854086079</v>
      </c>
      <c r="AN136" s="2">
        <v>2</v>
      </c>
      <c r="AO136" s="20" t="s">
        <v>56</v>
      </c>
      <c r="AP136" s="41" t="s">
        <v>22</v>
      </c>
      <c r="AQ136" s="20" t="s">
        <v>56</v>
      </c>
      <c r="AR136" s="20" t="s">
        <v>56</v>
      </c>
      <c r="AS136" s="20" t="s">
        <v>56</v>
      </c>
    </row>
    <row r="137" spans="1:48" x14ac:dyDescent="0.2">
      <c r="A137" s="12" t="s">
        <v>868</v>
      </c>
      <c r="B137" s="2" t="s">
        <v>990</v>
      </c>
      <c r="C137" s="32">
        <v>60</v>
      </c>
      <c r="D137" s="45" t="s">
        <v>22</v>
      </c>
      <c r="E137" s="46">
        <v>23</v>
      </c>
      <c r="F137" s="41" t="s">
        <v>752</v>
      </c>
      <c r="G137" s="41" t="s">
        <v>406</v>
      </c>
      <c r="H137" s="2" t="s">
        <v>38</v>
      </c>
      <c r="I137" s="2">
        <v>1</v>
      </c>
      <c r="J137" s="2">
        <v>0</v>
      </c>
      <c r="K137" s="2">
        <v>1</v>
      </c>
      <c r="L137" s="2" t="s">
        <v>22</v>
      </c>
      <c r="M137" s="17">
        <v>2.31</v>
      </c>
      <c r="N137" s="17">
        <v>2</v>
      </c>
      <c r="O137" s="17">
        <v>1.8</v>
      </c>
      <c r="P137" s="6">
        <v>377</v>
      </c>
      <c r="Q137" s="6">
        <v>194</v>
      </c>
      <c r="R137" s="6">
        <v>142</v>
      </c>
      <c r="S137" s="6">
        <v>36285</v>
      </c>
      <c r="T137" s="18">
        <v>58.92</v>
      </c>
      <c r="U137" s="6">
        <v>11560</v>
      </c>
      <c r="V137" s="21">
        <v>7</v>
      </c>
      <c r="W137" s="21">
        <v>7</v>
      </c>
      <c r="X137" s="21">
        <v>0</v>
      </c>
      <c r="Y137" s="21">
        <v>4</v>
      </c>
      <c r="Z137" s="22">
        <f t="shared" si="8"/>
        <v>4.3137254901960782</v>
      </c>
      <c r="AA137" s="22">
        <f t="shared" si="9"/>
        <v>100</v>
      </c>
      <c r="AB137" s="18">
        <v>97.9</v>
      </c>
      <c r="AC137" s="6">
        <v>190</v>
      </c>
      <c r="AD137" s="6">
        <v>3</v>
      </c>
      <c r="AE137" s="6">
        <v>1</v>
      </c>
      <c r="AF137" s="6">
        <v>0</v>
      </c>
      <c r="AG137" s="7">
        <v>1027</v>
      </c>
      <c r="AH137" s="6">
        <v>1025</v>
      </c>
      <c r="AJ137" s="38">
        <v>53.579767981438501</v>
      </c>
      <c r="AK137" s="29">
        <v>83.784265972888605</v>
      </c>
      <c r="AL137" s="29">
        <v>2.8429541919414101</v>
      </c>
      <c r="AM137" s="29">
        <v>13.239362089094101</v>
      </c>
      <c r="AN137" s="2">
        <v>1</v>
      </c>
      <c r="AO137" s="20" t="s">
        <v>56</v>
      </c>
      <c r="AP137" s="41" t="s">
        <v>22</v>
      </c>
      <c r="AQ137" s="20" t="s">
        <v>56</v>
      </c>
      <c r="AR137" s="20" t="s">
        <v>56</v>
      </c>
      <c r="AS137" s="20" t="s">
        <v>56</v>
      </c>
    </row>
    <row r="138" spans="1:48" x14ac:dyDescent="0.2">
      <c r="A138" s="12" t="s">
        <v>869</v>
      </c>
      <c r="B138" s="2" t="s">
        <v>987</v>
      </c>
      <c r="C138" s="32">
        <v>80</v>
      </c>
      <c r="D138" s="45" t="s">
        <v>22</v>
      </c>
      <c r="E138" s="46">
        <v>45</v>
      </c>
      <c r="F138" s="41" t="s">
        <v>506</v>
      </c>
      <c r="G138" s="41" t="s">
        <v>59</v>
      </c>
      <c r="H138" s="2" t="s">
        <v>38</v>
      </c>
      <c r="I138" s="2">
        <v>1</v>
      </c>
      <c r="J138" s="2">
        <v>0</v>
      </c>
      <c r="K138" s="2">
        <v>1</v>
      </c>
      <c r="L138" s="2" t="s">
        <v>22</v>
      </c>
      <c r="M138" s="17">
        <v>16.91</v>
      </c>
      <c r="N138" s="17">
        <v>14.02</v>
      </c>
      <c r="O138" s="17">
        <v>12.26</v>
      </c>
      <c r="P138" s="6">
        <v>3183</v>
      </c>
      <c r="Q138" s="6">
        <v>1420</v>
      </c>
      <c r="R138" s="6">
        <v>962</v>
      </c>
      <c r="S138" s="6">
        <v>102925</v>
      </c>
      <c r="T138" s="18">
        <v>50.73</v>
      </c>
      <c r="U138" s="6">
        <v>10601</v>
      </c>
      <c r="V138" s="21">
        <v>73</v>
      </c>
      <c r="W138" s="21">
        <v>71</v>
      </c>
      <c r="X138" s="21">
        <v>2</v>
      </c>
      <c r="Y138" s="21">
        <v>20</v>
      </c>
      <c r="Z138" s="22">
        <f t="shared" si="8"/>
        <v>36.470588235294116</v>
      </c>
      <c r="AA138" s="22">
        <f t="shared" si="9"/>
        <v>97.260273972602747</v>
      </c>
      <c r="AB138" s="18">
        <v>96.6</v>
      </c>
      <c r="AC138" s="6">
        <v>1372</v>
      </c>
      <c r="AD138" s="6">
        <v>47</v>
      </c>
      <c r="AE138" s="6">
        <v>1</v>
      </c>
      <c r="AF138" s="6">
        <v>0</v>
      </c>
      <c r="AG138" s="7">
        <v>6442</v>
      </c>
      <c r="AH138" s="6">
        <v>6422</v>
      </c>
      <c r="AJ138" s="38">
        <v>46.365547024952001</v>
      </c>
      <c r="AK138" s="29">
        <v>59.281794894767799</v>
      </c>
      <c r="AL138" s="29">
        <v>10.3374342788661</v>
      </c>
      <c r="AM138" s="29">
        <v>30.2546879671002</v>
      </c>
      <c r="AN138" s="2">
        <v>4</v>
      </c>
      <c r="AO138" s="20" t="s">
        <v>56</v>
      </c>
      <c r="AP138" s="41" t="s">
        <v>22</v>
      </c>
      <c r="AQ138" s="20" t="s">
        <v>56</v>
      </c>
      <c r="AR138" s="20" t="s">
        <v>56</v>
      </c>
      <c r="AS138" s="20" t="s">
        <v>56</v>
      </c>
    </row>
    <row r="139" spans="1:48" x14ac:dyDescent="0.2">
      <c r="A139" s="12" t="s">
        <v>880</v>
      </c>
      <c r="B139" s="2" t="s">
        <v>987</v>
      </c>
      <c r="C139" s="32">
        <v>93</v>
      </c>
      <c r="D139" s="45" t="s">
        <v>22</v>
      </c>
      <c r="E139" s="46">
        <v>59</v>
      </c>
      <c r="F139" s="41" t="s">
        <v>881</v>
      </c>
      <c r="G139" s="41" t="s">
        <v>882</v>
      </c>
      <c r="H139" s="2" t="s">
        <v>86</v>
      </c>
      <c r="I139" s="2">
        <v>1</v>
      </c>
      <c r="J139" s="2">
        <v>0</v>
      </c>
      <c r="K139" s="2">
        <v>1</v>
      </c>
      <c r="L139" s="2" t="s">
        <v>22</v>
      </c>
      <c r="M139" s="17">
        <v>1.54</v>
      </c>
      <c r="N139" s="17">
        <v>1.26</v>
      </c>
      <c r="O139" s="17">
        <v>0.93</v>
      </c>
      <c r="P139" s="6">
        <v>348</v>
      </c>
      <c r="Q139" s="6">
        <v>194</v>
      </c>
      <c r="R139" s="6">
        <v>112</v>
      </c>
      <c r="S139" s="6">
        <v>19244</v>
      </c>
      <c r="T139" s="18">
        <v>58.27</v>
      </c>
      <c r="U139" s="6">
        <v>6105</v>
      </c>
      <c r="V139" s="21">
        <v>30</v>
      </c>
      <c r="W139" s="21">
        <v>30</v>
      </c>
      <c r="X139" s="21">
        <v>0</v>
      </c>
      <c r="Y139" s="21">
        <v>5</v>
      </c>
      <c r="Z139" s="22">
        <f t="shared" si="8"/>
        <v>13.725490196078431</v>
      </c>
      <c r="AA139" s="22">
        <f t="shared" si="9"/>
        <v>100</v>
      </c>
      <c r="AB139" s="18">
        <v>100</v>
      </c>
      <c r="AC139" s="6">
        <v>194</v>
      </c>
      <c r="AD139" s="6">
        <v>0</v>
      </c>
      <c r="AE139" s="6">
        <v>0</v>
      </c>
      <c r="AF139" s="6">
        <v>0</v>
      </c>
      <c r="AG139" s="7">
        <v>838</v>
      </c>
      <c r="AH139" s="6">
        <v>838</v>
      </c>
      <c r="AJ139" s="38">
        <v>11.222170429716</v>
      </c>
      <c r="AK139" s="29">
        <v>68.310440523259302</v>
      </c>
      <c r="AL139" s="29">
        <v>8.4365045781293393</v>
      </c>
      <c r="AM139" s="29">
        <v>23.025186850501399</v>
      </c>
      <c r="AN139" s="2">
        <v>2</v>
      </c>
      <c r="AO139" s="20" t="s">
        <v>56</v>
      </c>
      <c r="AP139" s="41" t="s">
        <v>22</v>
      </c>
      <c r="AQ139" s="20" t="s">
        <v>56</v>
      </c>
      <c r="AR139" s="20" t="s">
        <v>56</v>
      </c>
      <c r="AS139" s="20" t="s">
        <v>56</v>
      </c>
    </row>
    <row r="140" spans="1:48" x14ac:dyDescent="0.2">
      <c r="A140" s="12" t="s">
        <v>563</v>
      </c>
      <c r="B140" s="2" t="s">
        <v>987</v>
      </c>
      <c r="C140" s="32">
        <v>103</v>
      </c>
      <c r="D140" s="45" t="s">
        <v>22</v>
      </c>
      <c r="E140" s="46">
        <v>70</v>
      </c>
      <c r="F140" s="41" t="s">
        <v>654</v>
      </c>
      <c r="G140" s="41" t="s">
        <v>120</v>
      </c>
      <c r="H140" s="2" t="s">
        <v>121</v>
      </c>
      <c r="I140" s="2">
        <v>1</v>
      </c>
      <c r="J140" s="2">
        <v>0</v>
      </c>
      <c r="K140" s="2">
        <v>1</v>
      </c>
      <c r="L140" s="2" t="s">
        <v>22</v>
      </c>
      <c r="M140" s="17">
        <v>31.45</v>
      </c>
      <c r="N140" s="17">
        <v>26.63</v>
      </c>
      <c r="O140" s="17">
        <v>24.05</v>
      </c>
      <c r="P140" s="6">
        <v>5151</v>
      </c>
      <c r="Q140" s="6">
        <v>2233</v>
      </c>
      <c r="R140" s="6">
        <v>1565</v>
      </c>
      <c r="S140" s="6">
        <v>93393</v>
      </c>
      <c r="T140" s="18">
        <v>65.13</v>
      </c>
      <c r="U140" s="6">
        <v>14232</v>
      </c>
      <c r="V140" s="21">
        <v>86</v>
      </c>
      <c r="W140" s="21">
        <v>86</v>
      </c>
      <c r="X140" s="21">
        <v>0</v>
      </c>
      <c r="Y140" s="21">
        <v>22</v>
      </c>
      <c r="Z140" s="22">
        <f t="shared" si="8"/>
        <v>42.352941176470587</v>
      </c>
      <c r="AA140" s="22">
        <f t="shared" si="9"/>
        <v>100</v>
      </c>
      <c r="AB140" s="18">
        <v>97.2</v>
      </c>
      <c r="AC140" s="6">
        <v>2171</v>
      </c>
      <c r="AD140" s="6">
        <v>61</v>
      </c>
      <c r="AE140" s="6">
        <v>0</v>
      </c>
      <c r="AF140" s="6">
        <v>1</v>
      </c>
      <c r="AG140" s="7">
        <v>14704</v>
      </c>
      <c r="AH140" s="6">
        <v>14683</v>
      </c>
      <c r="AJ140" s="38">
        <v>74.269955135773301</v>
      </c>
      <c r="AK140" s="29">
        <v>64.112593370888703</v>
      </c>
      <c r="AL140" s="29">
        <v>5.1114562574399898</v>
      </c>
      <c r="AM140" s="29">
        <v>30.6071860254143</v>
      </c>
      <c r="AN140" s="2">
        <v>4</v>
      </c>
      <c r="AO140" s="20" t="s">
        <v>56</v>
      </c>
      <c r="AP140" s="41" t="s">
        <v>22</v>
      </c>
      <c r="AQ140" s="20" t="s">
        <v>56</v>
      </c>
      <c r="AR140" s="20" t="s">
        <v>56</v>
      </c>
      <c r="AS140" s="20" t="s">
        <v>56</v>
      </c>
    </row>
    <row r="141" spans="1:48" x14ac:dyDescent="0.2">
      <c r="A141" s="12" t="s">
        <v>547</v>
      </c>
      <c r="B141" s="2" t="s">
        <v>987</v>
      </c>
      <c r="C141" s="32">
        <v>105</v>
      </c>
      <c r="D141" s="45" t="s">
        <v>22</v>
      </c>
      <c r="E141" s="46">
        <v>72</v>
      </c>
      <c r="F141" s="41" t="s">
        <v>655</v>
      </c>
      <c r="G141" s="41" t="s">
        <v>120</v>
      </c>
      <c r="H141" s="2" t="s">
        <v>121</v>
      </c>
      <c r="I141" s="2">
        <v>1</v>
      </c>
      <c r="J141" s="2">
        <v>0</v>
      </c>
      <c r="K141" s="2">
        <v>1</v>
      </c>
      <c r="L141" s="2" t="s">
        <v>22</v>
      </c>
      <c r="M141" s="17">
        <v>21.65</v>
      </c>
      <c r="N141" s="17">
        <v>17.09</v>
      </c>
      <c r="O141" s="17">
        <v>15.02</v>
      </c>
      <c r="P141" s="6">
        <v>4342</v>
      </c>
      <c r="Q141" s="6">
        <v>1583</v>
      </c>
      <c r="R141" s="6">
        <v>1055</v>
      </c>
      <c r="S141" s="6">
        <v>85326</v>
      </c>
      <c r="T141" s="18">
        <v>68.23</v>
      </c>
      <c r="U141" s="6">
        <v>11295</v>
      </c>
      <c r="V141" s="21">
        <v>43</v>
      </c>
      <c r="W141" s="21">
        <v>43</v>
      </c>
      <c r="X141" s="21">
        <v>0</v>
      </c>
      <c r="Y141" s="21">
        <v>27</v>
      </c>
      <c r="Z141" s="22">
        <f t="shared" si="8"/>
        <v>27.450980392156861</v>
      </c>
      <c r="AA141" s="22">
        <f t="shared" si="9"/>
        <v>100</v>
      </c>
      <c r="AB141" s="18">
        <v>97.3</v>
      </c>
      <c r="AC141" s="6">
        <v>1541</v>
      </c>
      <c r="AD141" s="6">
        <v>39</v>
      </c>
      <c r="AE141" s="6">
        <v>0</v>
      </c>
      <c r="AF141" s="6">
        <v>3</v>
      </c>
      <c r="AG141" s="7">
        <v>11612</v>
      </c>
      <c r="AH141" s="6">
        <v>11586</v>
      </c>
      <c r="AJ141" s="38">
        <v>78.877009107468098</v>
      </c>
      <c r="AK141" s="29">
        <v>66.760891584736001</v>
      </c>
      <c r="AL141" s="29">
        <v>7.7402420193592798</v>
      </c>
      <c r="AM141" s="29">
        <v>25.3103734531439</v>
      </c>
      <c r="AN141" s="2">
        <v>2</v>
      </c>
      <c r="AO141" s="20" t="s">
        <v>56</v>
      </c>
      <c r="AP141" s="41" t="s">
        <v>22</v>
      </c>
      <c r="AQ141" s="20" t="s">
        <v>56</v>
      </c>
      <c r="AR141" s="20" t="s">
        <v>56</v>
      </c>
      <c r="AS141" s="20" t="s">
        <v>56</v>
      </c>
    </row>
    <row r="142" spans="1:48" x14ac:dyDescent="0.2">
      <c r="A142" s="12" t="s">
        <v>564</v>
      </c>
      <c r="B142" s="2" t="s">
        <v>987</v>
      </c>
      <c r="C142" s="32">
        <v>112</v>
      </c>
      <c r="D142" s="45" t="s">
        <v>22</v>
      </c>
      <c r="E142" s="46">
        <v>79</v>
      </c>
      <c r="F142" s="41" t="s">
        <v>657</v>
      </c>
      <c r="G142" s="41" t="s">
        <v>120</v>
      </c>
      <c r="H142" s="2" t="s">
        <v>121</v>
      </c>
      <c r="I142" s="2">
        <v>1</v>
      </c>
      <c r="J142" s="2">
        <v>0</v>
      </c>
      <c r="K142" s="2">
        <v>1</v>
      </c>
      <c r="L142" s="2" t="s">
        <v>22</v>
      </c>
      <c r="M142" s="17">
        <v>30.09</v>
      </c>
      <c r="N142" s="17">
        <v>25.38</v>
      </c>
      <c r="O142" s="17">
        <v>22.58</v>
      </c>
      <c r="P142" s="6">
        <v>5095</v>
      </c>
      <c r="Q142" s="6">
        <v>2236</v>
      </c>
      <c r="R142" s="6">
        <v>1515</v>
      </c>
      <c r="S142" s="6">
        <v>123045</v>
      </c>
      <c r="T142" s="18">
        <v>66.66</v>
      </c>
      <c r="U142" s="6">
        <v>13534</v>
      </c>
      <c r="V142" s="21">
        <v>68</v>
      </c>
      <c r="W142" s="21">
        <v>68</v>
      </c>
      <c r="X142" s="21">
        <v>0</v>
      </c>
      <c r="Y142" s="21">
        <v>13</v>
      </c>
      <c r="Z142" s="22">
        <f t="shared" si="8"/>
        <v>31.764705882352942</v>
      </c>
      <c r="AA142" s="22">
        <f t="shared" si="9"/>
        <v>100</v>
      </c>
      <c r="AB142" s="18">
        <v>98.3</v>
      </c>
      <c r="AC142" s="6">
        <v>2198</v>
      </c>
      <c r="AD142" s="6">
        <v>35</v>
      </c>
      <c r="AE142" s="6">
        <v>0</v>
      </c>
      <c r="AF142" s="6">
        <v>3</v>
      </c>
      <c r="AG142" s="7">
        <v>13439</v>
      </c>
      <c r="AH142" s="6">
        <v>13411</v>
      </c>
      <c r="AJ142" s="38">
        <v>94.752238664987402</v>
      </c>
      <c r="AK142" s="29">
        <v>60.3409807581492</v>
      </c>
      <c r="AL142" s="29">
        <v>8.7939941204874401</v>
      </c>
      <c r="AM142" s="29">
        <v>30.7144667464474</v>
      </c>
      <c r="AN142" s="2">
        <v>4</v>
      </c>
      <c r="AO142" s="20" t="s">
        <v>56</v>
      </c>
      <c r="AP142" s="41" t="s">
        <v>22</v>
      </c>
      <c r="AQ142" s="20" t="s">
        <v>56</v>
      </c>
      <c r="AR142" s="20" t="s">
        <v>56</v>
      </c>
      <c r="AS142" s="20" t="s">
        <v>56</v>
      </c>
    </row>
    <row r="143" spans="1:48" x14ac:dyDescent="0.2">
      <c r="A143" s="12" t="s">
        <v>558</v>
      </c>
      <c r="B143" s="2" t="s">
        <v>987</v>
      </c>
      <c r="C143" s="32">
        <v>132</v>
      </c>
      <c r="D143" s="45" t="s">
        <v>22</v>
      </c>
      <c r="E143" s="46">
        <v>100</v>
      </c>
      <c r="F143" s="41" t="s">
        <v>658</v>
      </c>
      <c r="G143" s="41" t="s">
        <v>120</v>
      </c>
      <c r="H143" s="2" t="s">
        <v>121</v>
      </c>
      <c r="I143" s="2">
        <v>1</v>
      </c>
      <c r="J143" s="2">
        <v>0</v>
      </c>
      <c r="K143" s="2">
        <v>1</v>
      </c>
      <c r="L143" s="2" t="s">
        <v>22</v>
      </c>
      <c r="M143" s="17">
        <v>28.16</v>
      </c>
      <c r="N143" s="17">
        <v>23.95</v>
      </c>
      <c r="O143" s="17">
        <v>21.24</v>
      </c>
      <c r="P143" s="6">
        <v>4772</v>
      </c>
      <c r="Q143" s="6">
        <v>2207</v>
      </c>
      <c r="R143" s="6">
        <v>1514</v>
      </c>
      <c r="S143" s="6">
        <v>94231</v>
      </c>
      <c r="T143" s="18">
        <v>61.32</v>
      </c>
      <c r="U143" s="6">
        <v>12584</v>
      </c>
      <c r="V143" s="21">
        <v>67</v>
      </c>
      <c r="W143" s="21">
        <v>67</v>
      </c>
      <c r="X143" s="21">
        <v>0</v>
      </c>
      <c r="Y143" s="21">
        <v>25</v>
      </c>
      <c r="Z143" s="22">
        <f t="shared" si="8"/>
        <v>36.078431372549019</v>
      </c>
      <c r="AA143" s="22">
        <f t="shared" si="9"/>
        <v>100</v>
      </c>
      <c r="AB143" s="18">
        <v>98.6</v>
      </c>
      <c r="AC143" s="6">
        <v>2177</v>
      </c>
      <c r="AD143" s="6">
        <v>25</v>
      </c>
      <c r="AE143" s="6">
        <v>1</v>
      </c>
      <c r="AF143" s="6">
        <v>4</v>
      </c>
      <c r="AG143" s="7">
        <v>12892</v>
      </c>
      <c r="AH143" s="6">
        <v>12879</v>
      </c>
      <c r="AJ143" s="38">
        <v>78.045792682926802</v>
      </c>
      <c r="AK143" s="29">
        <v>61.656983885959797</v>
      </c>
      <c r="AL143" s="29">
        <v>5.3959949177031703</v>
      </c>
      <c r="AM143" s="29">
        <v>32.799039679146802</v>
      </c>
      <c r="AN143" s="2">
        <v>4</v>
      </c>
      <c r="AO143" s="20" t="s">
        <v>56</v>
      </c>
      <c r="AP143" s="41" t="s">
        <v>22</v>
      </c>
      <c r="AQ143" s="20" t="s">
        <v>56</v>
      </c>
      <c r="AR143" s="20" t="s">
        <v>56</v>
      </c>
      <c r="AS143" s="20" t="s">
        <v>56</v>
      </c>
    </row>
    <row r="144" spans="1:48" x14ac:dyDescent="0.2">
      <c r="A144" s="12" t="s">
        <v>843</v>
      </c>
      <c r="B144" s="2" t="s">
        <v>987</v>
      </c>
      <c r="C144" s="32">
        <v>107</v>
      </c>
      <c r="D144" s="45" t="s">
        <v>22</v>
      </c>
      <c r="E144" s="46">
        <v>74</v>
      </c>
      <c r="F144" s="41" t="s">
        <v>622</v>
      </c>
      <c r="G144" s="41" t="s">
        <v>120</v>
      </c>
      <c r="H144" s="2" t="s">
        <v>121</v>
      </c>
      <c r="I144" s="2">
        <v>2</v>
      </c>
      <c r="J144" s="2">
        <v>0</v>
      </c>
      <c r="K144" s="16">
        <v>2</v>
      </c>
      <c r="L144" s="16">
        <v>2</v>
      </c>
      <c r="M144" s="38">
        <v>47.75</v>
      </c>
      <c r="N144" s="38">
        <v>35.89</v>
      </c>
      <c r="O144" s="38">
        <v>29.74</v>
      </c>
      <c r="P144" s="2">
        <v>11332</v>
      </c>
      <c r="Q144" s="2">
        <v>4160</v>
      </c>
      <c r="R144" s="2">
        <v>2562</v>
      </c>
      <c r="S144" s="2">
        <v>64749</v>
      </c>
      <c r="T144" s="29">
        <v>65.69</v>
      </c>
      <c r="U144" s="2">
        <v>7539</v>
      </c>
      <c r="V144" s="21">
        <v>109</v>
      </c>
      <c r="W144" s="21">
        <v>105</v>
      </c>
      <c r="X144" s="21">
        <v>4</v>
      </c>
      <c r="Y144" s="21">
        <v>28</v>
      </c>
      <c r="Z144" s="22">
        <f t="shared" si="8"/>
        <v>53.725490196078432</v>
      </c>
      <c r="AA144" s="22">
        <f t="shared" si="9"/>
        <v>96.330275229357795</v>
      </c>
      <c r="AB144" s="29">
        <v>99</v>
      </c>
      <c r="AC144" s="2">
        <v>4119</v>
      </c>
      <c r="AD144" s="2">
        <v>38</v>
      </c>
      <c r="AE144" s="2">
        <v>0</v>
      </c>
      <c r="AF144" s="2">
        <v>3</v>
      </c>
      <c r="AG144" s="2">
        <v>23677</v>
      </c>
      <c r="AH144" s="2">
        <v>23638</v>
      </c>
      <c r="AI144" s="5" t="s">
        <v>281</v>
      </c>
      <c r="AJ144" s="38">
        <v>88.867405546249799</v>
      </c>
      <c r="AK144" s="29">
        <v>66.256679247247703</v>
      </c>
      <c r="AL144" s="29">
        <v>4.0501015561612803</v>
      </c>
      <c r="AM144" s="29">
        <v>29.5193894956648</v>
      </c>
      <c r="AN144" s="2">
        <v>4</v>
      </c>
      <c r="AO144" s="8" t="s">
        <v>55</v>
      </c>
      <c r="AP144" s="41" t="s">
        <v>22</v>
      </c>
      <c r="AQ144" s="8" t="s">
        <v>55</v>
      </c>
      <c r="AR144" s="8" t="s">
        <v>55</v>
      </c>
      <c r="AS144" s="8" t="s">
        <v>55</v>
      </c>
      <c r="AU144" s="2" t="s">
        <v>723</v>
      </c>
      <c r="AV144" s="2">
        <v>98.4</v>
      </c>
    </row>
    <row r="145" spans="1:48" x14ac:dyDescent="0.2">
      <c r="A145" s="12" t="s">
        <v>844</v>
      </c>
      <c r="B145" s="2" t="s">
        <v>987</v>
      </c>
      <c r="C145" s="32">
        <v>118</v>
      </c>
      <c r="D145" s="45" t="s">
        <v>22</v>
      </c>
      <c r="E145" s="46">
        <v>86</v>
      </c>
      <c r="F145" s="41" t="s">
        <v>624</v>
      </c>
      <c r="G145" s="41" t="s">
        <v>120</v>
      </c>
      <c r="H145" s="2" t="s">
        <v>121</v>
      </c>
      <c r="I145" s="2">
        <v>1</v>
      </c>
      <c r="J145" s="2">
        <v>0</v>
      </c>
      <c r="K145" s="2">
        <v>1</v>
      </c>
      <c r="L145" s="2" t="s">
        <v>22</v>
      </c>
      <c r="M145" s="17">
        <v>41.8</v>
      </c>
      <c r="N145" s="17">
        <v>36.520000000000003</v>
      </c>
      <c r="O145" s="17">
        <v>33.47</v>
      </c>
      <c r="P145" s="6">
        <v>6146</v>
      </c>
      <c r="Q145" s="6">
        <v>2961</v>
      </c>
      <c r="R145" s="6">
        <v>2185</v>
      </c>
      <c r="S145" s="6">
        <v>164031</v>
      </c>
      <c r="T145" s="18">
        <v>62.24</v>
      </c>
      <c r="U145" s="6">
        <v>14735</v>
      </c>
      <c r="V145" s="21">
        <v>110</v>
      </c>
      <c r="W145" s="21">
        <v>110</v>
      </c>
      <c r="X145" s="21">
        <v>0</v>
      </c>
      <c r="Y145" s="21">
        <v>14</v>
      </c>
      <c r="Z145" s="22">
        <f t="shared" si="8"/>
        <v>48.627450980392155</v>
      </c>
      <c r="AA145" s="22">
        <f t="shared" si="9"/>
        <v>100</v>
      </c>
      <c r="AB145" s="18">
        <v>99.3</v>
      </c>
      <c r="AC145" s="6">
        <v>2940</v>
      </c>
      <c r="AD145" s="6">
        <v>15</v>
      </c>
      <c r="AE145" s="6">
        <v>0</v>
      </c>
      <c r="AF145" s="6">
        <v>6</v>
      </c>
      <c r="AG145" s="7">
        <v>17854</v>
      </c>
      <c r="AH145" s="6">
        <v>17839</v>
      </c>
      <c r="AI145" s="5" t="s">
        <v>313</v>
      </c>
      <c r="AJ145" s="38">
        <v>85.956864075673494</v>
      </c>
      <c r="AK145" s="29">
        <v>64.839189888677495</v>
      </c>
      <c r="AL145" s="29">
        <v>3.5566668149093599</v>
      </c>
      <c r="AM145" s="29">
        <v>31.464074283896299</v>
      </c>
      <c r="AN145" s="2">
        <v>4</v>
      </c>
      <c r="AO145" s="8" t="s">
        <v>55</v>
      </c>
      <c r="AP145" s="41" t="s">
        <v>22</v>
      </c>
      <c r="AQ145" s="8" t="s">
        <v>55</v>
      </c>
      <c r="AR145" s="8" t="s">
        <v>55</v>
      </c>
      <c r="AS145" s="8" t="s">
        <v>55</v>
      </c>
      <c r="AU145" s="2" t="s">
        <v>723</v>
      </c>
      <c r="AV145" s="2">
        <v>98.4</v>
      </c>
    </row>
    <row r="146" spans="1:48" x14ac:dyDescent="0.2">
      <c r="A146" s="12" t="s">
        <v>785</v>
      </c>
      <c r="B146" s="2" t="s">
        <v>987</v>
      </c>
      <c r="C146" s="32">
        <v>123</v>
      </c>
      <c r="D146" s="45" t="s">
        <v>22</v>
      </c>
      <c r="E146" s="46">
        <v>91</v>
      </c>
      <c r="F146" s="41" t="s">
        <v>326</v>
      </c>
      <c r="G146" s="41" t="s">
        <v>120</v>
      </c>
      <c r="H146" s="2" t="s">
        <v>121</v>
      </c>
      <c r="I146" s="2">
        <v>1</v>
      </c>
      <c r="J146" s="2">
        <v>0</v>
      </c>
      <c r="K146" s="2">
        <v>1</v>
      </c>
      <c r="L146" s="2" t="s">
        <v>22</v>
      </c>
      <c r="M146" s="17">
        <v>26.37</v>
      </c>
      <c r="N146" s="17">
        <v>21.07</v>
      </c>
      <c r="O146" s="17">
        <v>18.739999999999998</v>
      </c>
      <c r="P146" s="6">
        <v>5146</v>
      </c>
      <c r="Q146" s="6">
        <v>1907</v>
      </c>
      <c r="R146" s="6">
        <v>1308</v>
      </c>
      <c r="S146" s="6">
        <v>99714</v>
      </c>
      <c r="T146" s="18">
        <v>67.61</v>
      </c>
      <c r="U146" s="6">
        <v>11675</v>
      </c>
      <c r="V146" s="21">
        <v>75</v>
      </c>
      <c r="W146" s="21">
        <v>75</v>
      </c>
      <c r="X146" s="21">
        <v>0</v>
      </c>
      <c r="Y146" s="21">
        <v>25</v>
      </c>
      <c r="Z146" s="22">
        <f t="shared" si="8"/>
        <v>39.215686274509807</v>
      </c>
      <c r="AA146" s="22">
        <f t="shared" si="9"/>
        <v>100</v>
      </c>
      <c r="AB146" s="18">
        <v>97.9</v>
      </c>
      <c r="AC146" s="6">
        <v>1866</v>
      </c>
      <c r="AD146" s="6">
        <v>38</v>
      </c>
      <c r="AE146" s="6">
        <v>0</v>
      </c>
      <c r="AF146" s="6">
        <v>3</v>
      </c>
      <c r="AG146" s="7">
        <v>13339</v>
      </c>
      <c r="AH146" s="6">
        <v>13331</v>
      </c>
      <c r="AI146" s="5" t="s">
        <v>327</v>
      </c>
      <c r="AJ146" s="38">
        <v>67.230211626721101</v>
      </c>
      <c r="AK146" s="29">
        <v>66.231139937974802</v>
      </c>
      <c r="AL146" s="29">
        <v>6.4129017905209702</v>
      </c>
      <c r="AM146" s="29">
        <v>27.16258903084</v>
      </c>
      <c r="AN146" s="2">
        <v>2</v>
      </c>
      <c r="AO146" s="8" t="s">
        <v>55</v>
      </c>
      <c r="AP146" s="41" t="s">
        <v>22</v>
      </c>
      <c r="AQ146" s="10" t="s">
        <v>328</v>
      </c>
      <c r="AR146" s="10" t="s">
        <v>329</v>
      </c>
      <c r="AS146" s="10" t="s">
        <v>330</v>
      </c>
      <c r="AU146" s="2" t="s">
        <v>706</v>
      </c>
      <c r="AV146" s="2">
        <v>97.6</v>
      </c>
    </row>
    <row r="147" spans="1:48" x14ac:dyDescent="0.2">
      <c r="A147" s="12" t="s">
        <v>557</v>
      </c>
      <c r="B147" s="2" t="s">
        <v>987</v>
      </c>
      <c r="C147" s="32">
        <v>131</v>
      </c>
      <c r="D147" s="45" t="s">
        <v>22</v>
      </c>
      <c r="E147" s="46">
        <v>99</v>
      </c>
      <c r="F147" s="41" t="s">
        <v>630</v>
      </c>
      <c r="G147" s="41" t="s">
        <v>120</v>
      </c>
      <c r="H147" s="2" t="s">
        <v>121</v>
      </c>
      <c r="I147" s="2">
        <v>1</v>
      </c>
      <c r="J147" s="2">
        <v>0</v>
      </c>
      <c r="K147" s="2">
        <v>1</v>
      </c>
      <c r="L147" s="2" t="s">
        <v>22</v>
      </c>
      <c r="M147" s="17">
        <v>9.59</v>
      </c>
      <c r="N147" s="17">
        <v>7.59</v>
      </c>
      <c r="O147" s="17">
        <v>6.16</v>
      </c>
      <c r="P147" s="6">
        <v>2177</v>
      </c>
      <c r="Q147" s="6">
        <v>1002</v>
      </c>
      <c r="R147" s="6">
        <v>631</v>
      </c>
      <c r="S147" s="6">
        <v>43092</v>
      </c>
      <c r="T147" s="18">
        <v>67.61</v>
      </c>
      <c r="U147" s="6">
        <v>7262</v>
      </c>
      <c r="V147" s="21">
        <v>26</v>
      </c>
      <c r="W147" s="21">
        <v>26</v>
      </c>
      <c r="X147" s="21">
        <v>0</v>
      </c>
      <c r="Y147" s="21">
        <v>14</v>
      </c>
      <c r="Z147" s="22">
        <f t="shared" si="8"/>
        <v>15.686274509803921</v>
      </c>
      <c r="AA147" s="22">
        <f t="shared" si="9"/>
        <v>100</v>
      </c>
      <c r="AB147" s="18">
        <v>98.1</v>
      </c>
      <c r="AC147" s="6">
        <v>983</v>
      </c>
      <c r="AD147" s="6">
        <v>15</v>
      </c>
      <c r="AE147" s="6">
        <v>0</v>
      </c>
      <c r="AF147" s="6">
        <v>4</v>
      </c>
      <c r="AG147" s="7">
        <v>5355</v>
      </c>
      <c r="AH147" s="6">
        <v>5348</v>
      </c>
      <c r="AI147" s="5" t="s">
        <v>353</v>
      </c>
      <c r="AJ147" s="38">
        <v>61.103492670490802</v>
      </c>
      <c r="AK147" s="29">
        <v>70.869512882781095</v>
      </c>
      <c r="AL147" s="29">
        <v>7.5264067336884102</v>
      </c>
      <c r="AM147" s="29">
        <v>21.426144069272802</v>
      </c>
      <c r="AN147" s="2">
        <v>2</v>
      </c>
      <c r="AO147" s="8" t="s">
        <v>55</v>
      </c>
      <c r="AP147" s="41" t="s">
        <v>22</v>
      </c>
      <c r="AQ147" s="8" t="s">
        <v>55</v>
      </c>
      <c r="AR147" s="8" t="s">
        <v>55</v>
      </c>
      <c r="AS147" s="8" t="s">
        <v>55</v>
      </c>
      <c r="AU147" s="2" t="s">
        <v>713</v>
      </c>
      <c r="AV147" s="2">
        <v>98.1</v>
      </c>
    </row>
    <row r="148" spans="1:48" x14ac:dyDescent="0.2">
      <c r="A148" s="12" t="s">
        <v>849</v>
      </c>
      <c r="B148" s="2" t="s">
        <v>986</v>
      </c>
      <c r="C148" s="32">
        <v>143</v>
      </c>
      <c r="D148" s="45" t="s">
        <v>22</v>
      </c>
      <c r="E148" s="46">
        <v>112</v>
      </c>
      <c r="F148" s="41" t="s">
        <v>660</v>
      </c>
      <c r="G148" s="41" t="s">
        <v>27</v>
      </c>
      <c r="H148" s="2" t="s">
        <v>28</v>
      </c>
      <c r="I148" s="2">
        <v>1</v>
      </c>
      <c r="J148" s="2">
        <v>0</v>
      </c>
      <c r="K148" s="2">
        <v>1</v>
      </c>
      <c r="L148" s="2" t="s">
        <v>22</v>
      </c>
      <c r="M148" s="17">
        <v>6.4</v>
      </c>
      <c r="N148" s="17">
        <v>0.05</v>
      </c>
      <c r="O148" s="17">
        <v>0</v>
      </c>
      <c r="P148" s="6">
        <v>4891</v>
      </c>
      <c r="Q148" s="6">
        <v>16</v>
      </c>
      <c r="R148" s="6">
        <v>0</v>
      </c>
      <c r="S148" s="6">
        <v>3970</v>
      </c>
      <c r="T148" s="18">
        <v>51.44</v>
      </c>
      <c r="U148" s="6">
        <v>1271</v>
      </c>
      <c r="V148" s="21">
        <v>6</v>
      </c>
      <c r="W148" s="21">
        <v>6</v>
      </c>
      <c r="X148" s="21">
        <v>0</v>
      </c>
      <c r="Y148" s="21">
        <v>24</v>
      </c>
      <c r="Z148" s="22">
        <f t="shared" si="8"/>
        <v>11.764705882352942</v>
      </c>
      <c r="AA148" s="22">
        <f t="shared" si="9"/>
        <v>100</v>
      </c>
      <c r="AB148" s="18">
        <v>100</v>
      </c>
      <c r="AC148" s="6">
        <v>16</v>
      </c>
      <c r="AD148" s="6">
        <v>0</v>
      </c>
      <c r="AE148" s="6">
        <v>0</v>
      </c>
      <c r="AF148" s="6">
        <v>0</v>
      </c>
      <c r="AG148" s="6">
        <v>3561</v>
      </c>
      <c r="AH148" s="6">
        <v>3560</v>
      </c>
      <c r="AI148" s="5" t="s">
        <v>389</v>
      </c>
      <c r="AJ148" s="38">
        <v>54.418979591836703</v>
      </c>
      <c r="AK148" s="29">
        <v>42.358545875476104</v>
      </c>
      <c r="AL148" s="29">
        <v>4.0334410888557999</v>
      </c>
      <c r="AM148" s="29">
        <v>53.285012106870496</v>
      </c>
      <c r="AN148" s="2">
        <v>4</v>
      </c>
      <c r="AO148" s="8" t="s">
        <v>55</v>
      </c>
      <c r="AP148" s="41" t="s">
        <v>22</v>
      </c>
      <c r="AQ148" s="8" t="s">
        <v>55</v>
      </c>
      <c r="AR148" s="8" t="s">
        <v>55</v>
      </c>
      <c r="AS148" s="8" t="s">
        <v>55</v>
      </c>
      <c r="AU148" s="2" t="s">
        <v>737</v>
      </c>
      <c r="AV148" s="29">
        <v>96.1</v>
      </c>
    </row>
    <row r="150" spans="1:48" x14ac:dyDescent="0.2">
      <c r="AJ150" s="5"/>
      <c r="AK150" s="5"/>
      <c r="AL150" s="5"/>
      <c r="AM150" s="5"/>
    </row>
  </sheetData>
  <sortState xmlns:xlrd2="http://schemas.microsoft.com/office/spreadsheetml/2017/richdata2" ref="A2:AV150">
    <sortCondition ref="AO2:AO150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Massana</dc:creator>
  <cp:lastModifiedBy>Ramon Massana</cp:lastModifiedBy>
  <dcterms:created xsi:type="dcterms:W3CDTF">2025-04-10T07:59:17Z</dcterms:created>
  <dcterms:modified xsi:type="dcterms:W3CDTF">2026-02-27T08:31:13Z</dcterms:modified>
</cp:coreProperties>
</file>